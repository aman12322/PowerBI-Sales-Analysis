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1230e89a2593f95/Documents/"/>
    </mc:Choice>
  </mc:AlternateContent>
  <xr:revisionPtr revIDLastSave="1416" documentId="8_{4E9ED4B4-9096-4F88-8BBE-6BF0B8E200FB}" xr6:coauthVersionLast="47" xr6:coauthVersionMax="47" xr10:uidLastSave="{C3E93FE6-0F55-4660-A9AC-7D5D81F5B979}"/>
  <bookViews>
    <workbookView xWindow="-108" yWindow="-108" windowWidth="23256" windowHeight="13896" firstSheet="2" activeTab="7" xr2:uid="{0BB671DB-F4CE-40FC-BB3B-CA4A2DE026B4}"/>
  </bookViews>
  <sheets>
    <sheet name="Order" sheetId="1" r:id="rId1"/>
    <sheet name="Products" sheetId="2" r:id="rId2"/>
    <sheet name="Customers" sheetId="3" r:id="rId3"/>
    <sheet name="Employees" sheetId="4" r:id="rId4"/>
    <sheet name="Targets" sheetId="5" r:id="rId5"/>
    <sheet name="Sheet1" sheetId="9" r:id="rId6"/>
    <sheet name="Analysis" sheetId="7" r:id="rId7"/>
    <sheet name="Dashboard" sheetId="8" r:id="rId8"/>
  </sheets>
  <definedNames>
    <definedName name="Slicer_Category">#N/A</definedName>
    <definedName name="Slicer_City">#N/A</definedName>
    <definedName name="Slicer_Customer_Name">#N/A</definedName>
    <definedName name="Slicer_Customer_Type">#N/A</definedName>
    <definedName name="Slicer_Top_5_Product">#N/A</definedName>
  </definedNames>
  <calcPr calcId="191029"/>
  <pivotCaches>
    <pivotCache cacheId="12" r:id="rId9"/>
    <pivotCache cacheId="19" r:id="rId10"/>
    <pivotCache cacheId="23" r:id="rId11"/>
    <pivotCache cacheId="27" r:id="rId12"/>
    <pivotCache cacheId="32" r:id="rId13"/>
    <pivotCache cacheId="36"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6" i="7" l="1"/>
  <c r="N56" i="7"/>
  <c r="M56" i="7"/>
  <c r="R33" i="7"/>
  <c r="R32" i="7"/>
  <c r="Q33" i="7"/>
  <c r="Q32" i="7"/>
  <c r="K32" i="7"/>
  <c r="N33" i="7" s="1"/>
  <c r="H32" i="7"/>
  <c r="H33" i="7"/>
  <c r="H34" i="7"/>
  <c r="L2" i="7"/>
  <c r="B20" i="7"/>
  <c r="B69" i="7"/>
  <c r="D70" i="7"/>
  <c r="D71" i="7"/>
  <c r="D72" i="7"/>
  <c r="D73" i="7"/>
  <c r="D69" i="7"/>
  <c r="D50" i="7"/>
  <c r="C70" i="7"/>
  <c r="C71" i="7"/>
  <c r="C72" i="7"/>
  <c r="C73" i="7"/>
  <c r="C69" i="7"/>
  <c r="B70" i="7"/>
  <c r="B71" i="7"/>
  <c r="B72" i="7"/>
  <c r="B73" i="7"/>
  <c r="F73" i="7" s="1"/>
  <c r="H2" i="7"/>
  <c r="B50" i="7"/>
  <c r="D59" i="7"/>
  <c r="C59" i="7"/>
  <c r="B59" i="7"/>
  <c r="D51" i="7"/>
  <c r="D52" i="7"/>
  <c r="D53" i="7"/>
  <c r="D54" i="7"/>
  <c r="D55" i="7"/>
  <c r="D56" i="7"/>
  <c r="D57" i="7"/>
  <c r="D58" i="7"/>
  <c r="N2" i="7"/>
  <c r="C51" i="7"/>
  <c r="C52" i="7"/>
  <c r="C53" i="7"/>
  <c r="C54" i="7"/>
  <c r="C55" i="7"/>
  <c r="C56" i="7"/>
  <c r="C57" i="7"/>
  <c r="C58" i="7"/>
  <c r="C50" i="7"/>
  <c r="B51" i="7"/>
  <c r="B52" i="7"/>
  <c r="B53" i="7"/>
  <c r="B54" i="7"/>
  <c r="B55" i="7"/>
  <c r="B56" i="7"/>
  <c r="B57" i="7"/>
  <c r="B58" i="7"/>
  <c r="B2" i="7"/>
  <c r="B21" i="7"/>
  <c r="B22" i="7"/>
  <c r="B23" i="7"/>
  <c r="B24" i="7"/>
  <c r="I35" i="7"/>
  <c r="I44" i="7"/>
  <c r="I41" i="7"/>
  <c r="I36" i="7"/>
  <c r="I34" i="7"/>
  <c r="I37" i="7"/>
  <c r="I46" i="7"/>
  <c r="I42" i="7"/>
  <c r="I38" i="7"/>
  <c r="I33" i="7"/>
  <c r="I39" i="7"/>
  <c r="I45" i="7"/>
  <c r="I43" i="7"/>
  <c r="I40" i="7"/>
  <c r="I32" i="7"/>
  <c r="H35" i="7"/>
  <c r="H44" i="7"/>
  <c r="H41" i="7"/>
  <c r="H36" i="7"/>
  <c r="H37" i="7"/>
  <c r="H46" i="7"/>
  <c r="H42" i="7"/>
  <c r="H38" i="7"/>
  <c r="H39" i="7"/>
  <c r="H45" i="7"/>
  <c r="H43" i="7"/>
  <c r="H40" i="7"/>
  <c r="L35" i="7"/>
  <c r="L44" i="7"/>
  <c r="L41" i="7"/>
  <c r="L36" i="7"/>
  <c r="L34" i="7"/>
  <c r="L37" i="7"/>
  <c r="L46" i="7"/>
  <c r="L42" i="7"/>
  <c r="L38" i="7"/>
  <c r="L33" i="7"/>
  <c r="L39" i="7"/>
  <c r="L45" i="7"/>
  <c r="L43" i="7"/>
  <c r="L40" i="7"/>
  <c r="K35" i="7"/>
  <c r="K44" i="7"/>
  <c r="K41" i="7"/>
  <c r="K36" i="7"/>
  <c r="K34" i="7"/>
  <c r="K37" i="7"/>
  <c r="K46" i="7"/>
  <c r="K42" i="7"/>
  <c r="K38" i="7"/>
  <c r="K33" i="7"/>
  <c r="K39" i="7"/>
  <c r="K45" i="7"/>
  <c r="K43" i="7"/>
  <c r="K40" i="7"/>
  <c r="L32" i="7"/>
  <c r="J35" i="7"/>
  <c r="J44" i="7"/>
  <c r="J41" i="7"/>
  <c r="J36" i="7"/>
  <c r="J34" i="7"/>
  <c r="J37" i="7"/>
  <c r="J46" i="7"/>
  <c r="J42" i="7"/>
  <c r="J38" i="7"/>
  <c r="J33" i="7"/>
  <c r="J39" i="7"/>
  <c r="J45" i="7"/>
  <c r="J43" i="7"/>
  <c r="J40" i="7"/>
  <c r="J32" i="7"/>
  <c r="E33" i="7"/>
  <c r="E34" i="7"/>
  <c r="E35" i="7"/>
  <c r="E36" i="7"/>
  <c r="E37" i="7"/>
  <c r="E38" i="7"/>
  <c r="E32" i="7"/>
  <c r="D33" i="7"/>
  <c r="D34" i="7"/>
  <c r="D35" i="7"/>
  <c r="D36" i="7"/>
  <c r="D37" i="7"/>
  <c r="D38" i="7"/>
  <c r="D32" i="7"/>
  <c r="C33" i="7"/>
  <c r="C34" i="7"/>
  <c r="C35" i="7"/>
  <c r="C36" i="7"/>
  <c r="C37" i="7"/>
  <c r="C38" i="7"/>
  <c r="C32" i="7"/>
  <c r="E21" i="7"/>
  <c r="G21" i="7" s="1"/>
  <c r="E22" i="7"/>
  <c r="G22" i="7" s="1"/>
  <c r="E23" i="7"/>
  <c r="G23" i="7" s="1"/>
  <c r="E24" i="7"/>
  <c r="G24" i="7" s="1"/>
  <c r="E20" i="7"/>
  <c r="G20" i="7" s="1"/>
  <c r="C21" i="7"/>
  <c r="C22" i="7"/>
  <c r="C23" i="7"/>
  <c r="C24" i="7"/>
  <c r="C20" i="7"/>
  <c r="D24" i="7"/>
  <c r="D21" i="7"/>
  <c r="D22" i="7"/>
  <c r="D23" i="7"/>
  <c r="D20" i="7"/>
  <c r="N3" i="7"/>
  <c r="N4" i="7"/>
  <c r="N5" i="7"/>
  <c r="N6" i="7"/>
  <c r="N7" i="7"/>
  <c r="N8" i="7"/>
  <c r="N9" i="7"/>
  <c r="N10" i="7"/>
  <c r="J2" i="7"/>
  <c r="M3" i="7"/>
  <c r="M4" i="7"/>
  <c r="M5" i="7"/>
  <c r="M6" i="7"/>
  <c r="M7" i="7"/>
  <c r="M8" i="7"/>
  <c r="M9" i="7"/>
  <c r="M10" i="7"/>
  <c r="M2" i="7"/>
  <c r="L3" i="7"/>
  <c r="L4" i="7"/>
  <c r="L5" i="7"/>
  <c r="L6" i="7"/>
  <c r="L7" i="7"/>
  <c r="L8" i="7"/>
  <c r="L9" i="7"/>
  <c r="L10" i="7"/>
  <c r="P2" i="1"/>
  <c r="Q2" i="1" s="1"/>
  <c r="T2" i="1"/>
  <c r="J3" i="7"/>
  <c r="J4" i="7"/>
  <c r="J5" i="7"/>
  <c r="J6" i="7"/>
  <c r="I3" i="7"/>
  <c r="I4" i="7"/>
  <c r="I5" i="7"/>
  <c r="I6" i="7"/>
  <c r="H5" i="7"/>
  <c r="H3" i="7"/>
  <c r="H4" i="7"/>
  <c r="H6" i="7"/>
  <c r="L2" i="1"/>
  <c r="D2" i="7"/>
  <c r="C2" i="7"/>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N32" i="7" l="1"/>
  <c r="N41" i="7"/>
  <c r="N40" i="7"/>
  <c r="N39" i="7"/>
  <c r="N38" i="7"/>
  <c r="N37" i="7"/>
  <c r="N36" i="7"/>
  <c r="N35" i="7"/>
  <c r="N34" i="7"/>
  <c r="G62" i="7"/>
  <c r="H62" i="7"/>
  <c r="F20" i="7"/>
  <c r="F24" i="7"/>
  <c r="F23" i="7"/>
  <c r="F22" i="7"/>
  <c r="F21" i="7"/>
  <c r="H63" i="7"/>
  <c r="G66" i="7"/>
  <c r="G63" i="7"/>
  <c r="G65" i="7"/>
  <c r="D66" i="7"/>
  <c r="G64" i="7"/>
  <c r="D62" i="7"/>
  <c r="F72" i="7"/>
  <c r="F71" i="7"/>
  <c r="F70" i="7"/>
  <c r="B63" i="7"/>
  <c r="A62" i="7"/>
  <c r="D65" i="7"/>
  <c r="D64" i="7"/>
  <c r="D63" i="7"/>
  <c r="F69" i="7"/>
  <c r="E66" i="7"/>
  <c r="E62" i="7"/>
  <c r="E65" i="7"/>
  <c r="B62" i="7"/>
  <c r="E64" i="7"/>
  <c r="G69" i="7"/>
  <c r="E63" i="7"/>
  <c r="G73" i="7"/>
  <c r="G72" i="7"/>
  <c r="G71" i="7"/>
  <c r="G70" i="7"/>
  <c r="H66" i="7"/>
  <c r="H65" i="7"/>
  <c r="H64" i="7"/>
  <c r="A66" i="7"/>
  <c r="A65" i="7"/>
  <c r="A64" i="7"/>
  <c r="A63" i="7"/>
  <c r="B66" i="7"/>
  <c r="B65" i="7"/>
  <c r="B64" i="7"/>
  <c r="R2" i="1"/>
  <c r="S2" i="1"/>
  <c r="A2" i="7" l="1"/>
  <c r="F2" i="7" s="1"/>
  <c r="U2" i="1"/>
  <c r="I2" i="7" l="1"/>
</calcChain>
</file>

<file path=xl/sharedStrings.xml><?xml version="1.0" encoding="utf-8"?>
<sst xmlns="http://schemas.openxmlformats.org/spreadsheetml/2006/main" count="9700" uniqueCount="2134">
  <si>
    <t>Order_ID</t>
  </si>
  <si>
    <t>Order_Date</t>
  </si>
  <si>
    <t>Customer_ID</t>
  </si>
  <si>
    <t>Product_ID</t>
  </si>
  <si>
    <t>Emp_ID</t>
  </si>
  <si>
    <t>City</t>
  </si>
  <si>
    <t>Payment</t>
  </si>
  <si>
    <t>Qty</t>
  </si>
  <si>
    <t>Discount_%</t>
  </si>
  <si>
    <t>Delivery_Days</t>
  </si>
  <si>
    <t>Status</t>
  </si>
  <si>
    <t>ORD1001</t>
  </si>
  <si>
    <t>C101</t>
  </si>
  <si>
    <t>P201</t>
  </si>
  <si>
    <t>E01</t>
  </si>
  <si>
    <t>Delhi</t>
  </si>
  <si>
    <t>UPI</t>
  </si>
  <si>
    <t>Delivered</t>
  </si>
  <si>
    <t>ORD1002</t>
  </si>
  <si>
    <t>C102</t>
  </si>
  <si>
    <t>P205</t>
  </si>
  <si>
    <t>E03</t>
  </si>
  <si>
    <t>Noida</t>
  </si>
  <si>
    <t>Card</t>
  </si>
  <si>
    <t>ORD1003</t>
  </si>
  <si>
    <t>C103</t>
  </si>
  <si>
    <t>P210</t>
  </si>
  <si>
    <t>E02</t>
  </si>
  <si>
    <t>Jaipur</t>
  </si>
  <si>
    <t>COD</t>
  </si>
  <si>
    <t>Returned</t>
  </si>
  <si>
    <t>ORD1004</t>
  </si>
  <si>
    <t>C104</t>
  </si>
  <si>
    <t>ORD1005</t>
  </si>
  <si>
    <t>C105</t>
  </si>
  <si>
    <t>ORD1006</t>
  </si>
  <si>
    <t>C106</t>
  </si>
  <si>
    <t>P203</t>
  </si>
  <si>
    <t>E04</t>
  </si>
  <si>
    <t>Ghaziabad</t>
  </si>
  <si>
    <t>P207</t>
  </si>
  <si>
    <t>Meerut</t>
  </si>
  <si>
    <t>Cash</t>
  </si>
  <si>
    <t>P202</t>
  </si>
  <si>
    <t>E05</t>
  </si>
  <si>
    <t>ORD1007</t>
  </si>
  <si>
    <t>C107</t>
  </si>
  <si>
    <t>P209</t>
  </si>
  <si>
    <t>Cancelled</t>
  </si>
  <si>
    <t>ORD1008</t>
  </si>
  <si>
    <t>C108</t>
  </si>
  <si>
    <t>P204</t>
  </si>
  <si>
    <t>Gurugram</t>
  </si>
  <si>
    <t>ORD1009</t>
  </si>
  <si>
    <t>C109</t>
  </si>
  <si>
    <t>P206</t>
  </si>
  <si>
    <t>ORD1010</t>
  </si>
  <si>
    <t>C110</t>
  </si>
  <si>
    <t>P208</t>
  </si>
  <si>
    <t>ORD1011</t>
  </si>
  <si>
    <t>C111</t>
  </si>
  <si>
    <t>ORD1012</t>
  </si>
  <si>
    <t>C112</t>
  </si>
  <si>
    <t>ORD1013</t>
  </si>
  <si>
    <t>C113</t>
  </si>
  <si>
    <t>ORD1014</t>
  </si>
  <si>
    <t>C114</t>
  </si>
  <si>
    <t>ORD1015</t>
  </si>
  <si>
    <t>C115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</si>
  <si>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</si>
  <si>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</si>
  <si>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</si>
  <si>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</si>
  <si>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</si>
  <si>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</si>
  <si>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</si>
  <si>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</si>
  <si>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</si>
  <si>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</si>
  <si>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</si>
  <si>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</si>
  <si>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</si>
  <si>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</si>
  <si>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</si>
  <si>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</si>
  <si>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</si>
  <si>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</si>
  <si>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</si>
  <si>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</si>
  <si>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</si>
  <si>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</si>
  <si>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</si>
  <si>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</si>
  <si>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</si>
  <si>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</si>
  <si>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</si>
  <si>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</si>
  <si>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</si>
  <si>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</si>
  <si>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</si>
  <si>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</si>
  <si>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</si>
  <si>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</si>
  <si>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</si>
  <si>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</si>
  <si>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</si>
  <si>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</si>
  <si>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</si>
  <si>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</si>
  <si>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</si>
  <si>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</si>
  <si>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</si>
  <si>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</si>
  <si>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</si>
  <si>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</si>
  <si>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</si>
  <si>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</si>
  <si>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</si>
  <si>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</si>
  <si>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</si>
  <si>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</si>
  <si>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</si>
  <si>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</si>
  <si>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</si>
  <si>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</si>
  <si>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</si>
  <si>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</si>
  <si>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</si>
  <si>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</si>
  <si>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</si>
  <si>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</si>
  <si>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</si>
  <si>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</si>
  <si>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</si>
  <si>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</si>
  <si>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</si>
  <si>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</si>
  <si>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</si>
  <si>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</si>
  <si>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</si>
  <si>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</si>
  <si>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</si>
  <si>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</si>
  <si>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</si>
  <si>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</si>
  <si>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</si>
  <si>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</si>
  <si>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</si>
  <si>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</si>
  <si>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</si>
  <si>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</si>
  <si>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</si>
  <si>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</si>
  <si>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</si>
  <si>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</si>
  <si>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</si>
  <si>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</si>
  <si>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</si>
  <si>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</si>
  <si>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</si>
  <si>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</si>
  <si>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</si>
  <si>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</si>
  <si>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</si>
  <si>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</si>
  <si>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</si>
  <si>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</si>
  <si>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</si>
  <si>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</si>
  <si>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</si>
  <si>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</si>
  <si>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</si>
  <si>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</si>
  <si>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</si>
  <si>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</si>
  <si>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</si>
  <si>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</si>
  <si>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</si>
  <si>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</si>
  <si>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</si>
  <si>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</si>
  <si>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</si>
  <si>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</si>
  <si>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</si>
  <si>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</si>
  <si>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</si>
  <si>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</si>
  <si>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</si>
  <si>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</si>
  <si>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</si>
  <si>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</si>
  <si>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</si>
  <si>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</si>
  <si>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</si>
  <si>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</si>
  <si>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</si>
  <si>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</si>
  <si>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</si>
  <si>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</si>
  <si>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</si>
  <si>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</si>
  <si>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</si>
  <si>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</si>
  <si>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</si>
  <si>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</si>
  <si>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</si>
  <si>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</si>
  <si>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</si>
  <si>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</si>
  <si>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</si>
  <si>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</si>
  <si>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</si>
  <si>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</si>
  <si>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</si>
  <si>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</si>
  <si>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</si>
  <si>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</si>
  <si>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</si>
  <si>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</si>
  <si>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</si>
  <si>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</si>
  <si>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</si>
  <si>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</si>
  <si>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</si>
  <si>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</si>
  <si>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</si>
  <si>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</si>
  <si>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</si>
  <si>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</si>
  <si>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</si>
  <si>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</si>
  <si>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</si>
  <si>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</si>
  <si>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</si>
  <si>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</si>
  <si>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</si>
  <si>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</si>
  <si>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</si>
  <si>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</si>
  <si>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</si>
  <si>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</si>
  <si>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</si>
  <si>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</si>
  <si>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</si>
  <si>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</si>
  <si>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</si>
  <si>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</si>
  <si>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</si>
  <si>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</si>
  <si>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</si>
  <si>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</si>
  <si>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</si>
  <si>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</si>
  <si>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</si>
  <si>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</si>
  <si>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</si>
  <si>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</si>
  <si>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</si>
  <si>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</si>
  <si>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</si>
  <si>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</si>
  <si>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</si>
  <si>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</si>
  <si>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</si>
  <si>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</si>
  <si>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</si>
  <si>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</si>
  <si>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</si>
  <si>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</si>
  <si>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</si>
  <si>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</si>
  <si>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</si>
  <si>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</si>
  <si>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</si>
  <si>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</si>
  <si>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</si>
  <si>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</si>
  <si>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</si>
  <si>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</si>
  <si>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</si>
  <si>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</si>
  <si>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</si>
  <si>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</si>
  <si>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</si>
  <si>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</si>
  <si>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</si>
  <si>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</si>
  <si>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</si>
  <si>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</si>
  <si>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</si>
  <si>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</si>
  <si>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</si>
  <si>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</si>
  <si>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</si>
  <si>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</si>
  <si>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</si>
  <si>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</si>
  <si>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</si>
  <si>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</si>
  <si>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</si>
  <si>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</si>
  <si>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</si>
  <si>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</si>
  <si>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</si>
  <si>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</si>
  <si>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</si>
  <si>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</si>
  <si>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</si>
  <si>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</si>
  <si>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</si>
  <si>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</si>
  <si>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</si>
  <si>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</si>
  <si>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</si>
  <si>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</si>
  <si>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</si>
  <si>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</si>
  <si>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</si>
  <si>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</si>
  <si>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</si>
  <si>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</si>
  <si>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</si>
  <si>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</si>
  <si>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</si>
  <si>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</si>
  <si>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</si>
  <si>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</si>
  <si>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</si>
  <si>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</si>
  <si>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</si>
  <si>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</si>
  <si>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</si>
  <si>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</si>
  <si>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</si>
  <si>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</si>
  <si>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</si>
  <si>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</si>
  <si>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</si>
  <si>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</si>
  <si>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</si>
  <si>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</si>
  <si>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</si>
  <si>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</si>
  <si>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</si>
  <si>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</si>
  <si>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</si>
  <si>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</si>
  <si>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</si>
  <si>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</si>
  <si>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</si>
  <si>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</si>
  <si>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</si>
  <si>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</si>
  <si>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</si>
  <si>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</si>
  <si>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</si>
  <si>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</si>
  <si>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</si>
  <si>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</si>
  <si>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</si>
  <si>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</si>
  <si>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</si>
  <si>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</si>
  <si>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</si>
  <si>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</si>
  <si>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</si>
  <si>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</si>
  <si>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</si>
  <si>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</si>
  <si>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</si>
  <si>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</si>
  <si>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</si>
  <si>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</si>
  <si>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</si>
  <si>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</si>
  <si>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</si>
  <si>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</si>
  <si>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</si>
  <si>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</si>
  <si>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</si>
  <si>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</si>
  <si>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</si>
  <si>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</si>
  <si>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</si>
  <si>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</si>
  <si>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</si>
  <si>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</si>
  <si>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</si>
  <si>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</si>
  <si>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</si>
  <si>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</si>
  <si>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</si>
  <si>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</si>
  <si>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</si>
  <si>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</si>
  <si>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</si>
  <si>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</si>
  <si>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</si>
  <si>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</si>
  <si>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</si>
  <si>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</si>
  <si>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</si>
  <si>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</si>
  <si>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</si>
  <si>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</si>
  <si>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</si>
  <si>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</si>
  <si>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</si>
  <si>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</si>
  <si>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</si>
  <si>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</si>
  <si>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</si>
  <si>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</si>
  <si>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</si>
  <si>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</si>
  <si>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</si>
  <si>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</si>
  <si>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</si>
  <si>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</si>
  <si>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</si>
  <si>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</si>
  <si>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</si>
  <si>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</si>
  <si>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</si>
  <si>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</si>
  <si>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</si>
  <si>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</si>
  <si>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</si>
  <si>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</si>
  <si>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</si>
  <si>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</si>
  <si>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</si>
  <si>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</si>
  <si>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</si>
  <si>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</si>
  <si>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</si>
  <si>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</si>
  <si>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</si>
  <si>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</si>
  <si>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</si>
  <si>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</si>
  <si>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</si>
  <si>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</si>
  <si>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</si>
  <si>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</si>
  <si>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</si>
  <si>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</si>
  <si>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</si>
  <si>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</si>
  <si>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</si>
  <si>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</si>
  <si>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</si>
  <si>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</si>
  <si>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</si>
  <si>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</si>
  <si>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</si>
  <si>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</si>
  <si>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</si>
  <si>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</si>
  <si>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</si>
  <si>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</si>
  <si>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</si>
  <si>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</si>
  <si>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</si>
  <si>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</si>
  <si>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</si>
  <si>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</si>
  <si>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</si>
  <si>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</si>
  <si>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</si>
  <si>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</si>
  <si>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</si>
  <si>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</si>
  <si>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</si>
  <si>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</si>
  <si>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</si>
  <si>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</si>
  <si>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</si>
  <si>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</si>
  <si>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</si>
  <si>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</si>
  <si>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</si>
  <si>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</si>
  <si>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</si>
  <si>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</si>
  <si>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</si>
  <si>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</si>
  <si>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</si>
  <si>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</si>
  <si>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</si>
  <si>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</si>
  <si>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</si>
  <si>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</si>
  <si>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</si>
  <si>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</si>
  <si>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</si>
  <si>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</si>
  <si>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</si>
  <si>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</si>
  <si>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</si>
  <si>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</si>
  <si>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</si>
  <si>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</si>
  <si>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</si>
  <si>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</si>
  <si>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</si>
  <si>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</si>
  <si>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</si>
  <si>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</si>
  <si>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</si>
  <si>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</si>
  <si>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</si>
  <si>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</si>
  <si>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</si>
  <si>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</si>
  <si>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</si>
  <si>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</si>
  <si>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</si>
  <si>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</si>
  <si>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</si>
  <si>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</si>
  <si>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</si>
  <si>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</si>
  <si>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</si>
  <si>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</si>
  <si>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</si>
  <si>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</si>
  <si>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</si>
  <si>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</si>
  <si>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</si>
  <si>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</si>
  <si>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</si>
  <si>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</si>
  <si>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</si>
  <si>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</si>
  <si>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</si>
  <si>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</si>
  <si>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</si>
  <si>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</si>
  <si>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</si>
  <si>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</si>
  <si>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</si>
  <si>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</si>
  <si>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</si>
  <si>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</si>
  <si>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</si>
  <si>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</si>
  <si>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</si>
  <si>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</si>
  <si>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</si>
  <si>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</si>
  <si>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</si>
  <si>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</si>
  <si>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</si>
  <si>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Product_Name</t>
  </si>
  <si>
    <t>Category</t>
  </si>
  <si>
    <t>Brand</t>
  </si>
  <si>
    <t>Unit_Cost</t>
  </si>
  <si>
    <t>Selling_Price</t>
  </si>
  <si>
    <t>Laptop</t>
  </si>
  <si>
    <t>Electronics</t>
  </si>
  <si>
    <t>HP</t>
  </si>
  <si>
    <t>Smartphone</t>
  </si>
  <si>
    <t>Samsung</t>
  </si>
  <si>
    <t>Headphones</t>
  </si>
  <si>
    <t>Sony</t>
  </si>
  <si>
    <t>Shirt</t>
  </si>
  <si>
    <t>Clothing</t>
  </si>
  <si>
    <t>Levis</t>
  </si>
  <si>
    <t>Jeans</t>
  </si>
  <si>
    <t>Wrangler</t>
  </si>
  <si>
    <t>Sports Shoes</t>
  </si>
  <si>
    <t>Sports</t>
  </si>
  <si>
    <t>Nike</t>
  </si>
  <si>
    <t>Office Chair</t>
  </si>
  <si>
    <t>Furniture</t>
  </si>
  <si>
    <t>Featherlite</t>
  </si>
  <si>
    <t>Study Table</t>
  </si>
  <si>
    <t>Ikea</t>
  </si>
  <si>
    <t>Mixer Grinder</t>
  </si>
  <si>
    <t>Home Appliances</t>
  </si>
  <si>
    <t>Philips</t>
  </si>
  <si>
    <t>Face Wash</t>
  </si>
  <si>
    <t>Beauty</t>
  </si>
  <si>
    <t>Nivea</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</si>
  <si>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</si>
  <si>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</si>
  <si>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</si>
  <si>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</si>
  <si>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</si>
  <si>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</si>
  <si>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</si>
  <si>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</si>
  <si>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</si>
  <si>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</si>
  <si>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</si>
  <si>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</si>
  <si>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</si>
  <si>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</si>
  <si>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</si>
  <si>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</si>
  <si>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</si>
  <si>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</si>
  <si>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</si>
  <si>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</si>
  <si>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</si>
  <si>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</si>
  <si>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</si>
  <si>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</si>
  <si>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</si>
  <si>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</si>
  <si>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</si>
  <si>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</si>
  <si>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</si>
  <si>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</si>
  <si>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</si>
  <si>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</si>
  <si>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</si>
  <si>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</si>
  <si>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</si>
  <si>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</si>
  <si>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</si>
  <si>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</si>
  <si>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</si>
  <si>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</si>
  <si>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</si>
  <si>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</si>
  <si>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</si>
  <si>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</si>
  <si>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</si>
  <si>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</si>
  <si>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</si>
  <si>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</si>
  <si>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</si>
  <si>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</si>
  <si>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</si>
  <si>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</si>
  <si>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</si>
  <si>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</si>
  <si>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</si>
  <si>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</si>
  <si>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</si>
  <si>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</si>
  <si>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</si>
  <si>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</si>
  <si>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</si>
  <si>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</si>
  <si>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</si>
  <si>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</si>
  <si>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</si>
  <si>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</si>
  <si>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</si>
  <si>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</si>
  <si>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</si>
  <si>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</si>
  <si>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</si>
  <si>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</si>
  <si>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</si>
  <si>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</si>
  <si>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</si>
  <si>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</si>
  <si>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</si>
  <si>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</si>
  <si>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</si>
  <si>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</si>
  <si>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</si>
  <si>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</si>
  <si>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</si>
  <si>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</si>
  <si>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</si>
  <si>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</si>
  <si>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</si>
  <si>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</si>
  <si>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</si>
  <si>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</si>
  <si>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</si>
  <si>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</si>
  <si>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</si>
  <si>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</si>
  <si>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</si>
  <si>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</si>
  <si>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</si>
  <si>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</si>
  <si>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</si>
  <si>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</si>
  <si>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</si>
  <si>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</si>
  <si>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</si>
  <si>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</si>
  <si>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</si>
  <si>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</si>
  <si>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</si>
  <si>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</si>
  <si>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</si>
  <si>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</si>
  <si>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</si>
  <si>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</si>
  <si>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</si>
  <si>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</si>
  <si>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</si>
  <si>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</si>
  <si>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</si>
  <si>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</si>
  <si>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</si>
  <si>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</si>
  <si>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</si>
  <si>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</si>
  <si>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</si>
  <si>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</si>
  <si>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</si>
  <si>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</si>
  <si>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</si>
  <si>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</si>
  <si>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</si>
  <si>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</si>
  <si>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</si>
  <si>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</si>
  <si>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</si>
  <si>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</si>
  <si>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</si>
  <si>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</si>
  <si>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</si>
  <si>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</si>
  <si>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</si>
  <si>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</si>
  <si>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</si>
  <si>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</si>
  <si>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</si>
  <si>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</si>
  <si>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</si>
  <si>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</si>
  <si>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</si>
  <si>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</si>
  <si>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</si>
  <si>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</si>
  <si>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</si>
  <si>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</si>
  <si>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</si>
  <si>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</si>
  <si>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</si>
  <si>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</si>
  <si>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</si>
  <si>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</si>
  <si>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</si>
  <si>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</si>
  <si>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</si>
  <si>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</si>
  <si>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</si>
  <si>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</si>
  <si>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</si>
  <si>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</si>
  <si>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</si>
  <si>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</si>
  <si>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</si>
  <si>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</si>
  <si>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</si>
  <si>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</si>
  <si>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</si>
  <si>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</si>
  <si>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</si>
  <si>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</si>
  <si>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</si>
  <si>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</si>
  <si>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</si>
  <si>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</si>
  <si>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</si>
  <si>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</si>
  <si>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</si>
  <si>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</si>
  <si>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</si>
  <si>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</si>
  <si>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</si>
  <si>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</si>
  <si>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</si>
  <si>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</si>
  <si>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</si>
  <si>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</si>
  <si>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</si>
  <si>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</si>
  <si>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</si>
  <si>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</si>
  <si>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</si>
  <si>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</si>
  <si>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</si>
  <si>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</si>
  <si>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</si>
  <si>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</si>
  <si>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</si>
  <si>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</si>
  <si>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</si>
  <si>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</si>
  <si>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</si>
  <si>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</si>
  <si>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</si>
  <si>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</si>
  <si>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</si>
  <si>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</si>
  <si>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</si>
  <si>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</si>
  <si>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</si>
  <si>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</si>
  <si>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</si>
  <si>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</si>
  <si>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</si>
  <si>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</si>
  <si>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</si>
  <si>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</si>
  <si>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</si>
  <si>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</si>
  <si>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</si>
  <si>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</si>
  <si>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</si>
  <si>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</si>
  <si>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</si>
  <si>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</si>
  <si>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</si>
  <si>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</si>
  <si>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</si>
  <si>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</si>
  <si>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</si>
  <si>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</si>
  <si>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</si>
  <si>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</si>
  <si>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</si>
  <si>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</si>
  <si>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</si>
  <si>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</si>
  <si>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</si>
  <si>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</si>
  <si>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</si>
  <si>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</si>
  <si>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</si>
  <si>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</si>
  <si>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</si>
  <si>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</si>
  <si>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</si>
  <si>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</si>
  <si>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</si>
  <si>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</si>
  <si>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</si>
  <si>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</si>
  <si>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</si>
  <si>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</si>
  <si>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</si>
  <si>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</si>
  <si>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</si>
  <si>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</si>
  <si>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</si>
  <si>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</si>
  <si>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</si>
  <si>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</si>
  <si>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</si>
  <si>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</si>
  <si>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</si>
  <si>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</si>
  <si>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</si>
  <si>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</si>
  <si>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</si>
  <si>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</si>
  <si>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</si>
  <si>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</si>
  <si>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</si>
  <si>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</si>
  <si>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</si>
  <si>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</si>
  <si>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</si>
  <si>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</si>
  <si>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</si>
  <si>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</si>
  <si>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</si>
  <si>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</si>
  <si>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</si>
  <si>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</si>
  <si>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</si>
  <si>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</si>
  <si>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</si>
  <si>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</si>
  <si>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</si>
  <si>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</si>
  <si>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</si>
  <si>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</si>
  <si>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</si>
  <si>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</si>
  <si>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</si>
  <si>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</si>
  <si>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</si>
  <si>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</si>
  <si>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</si>
  <si>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</si>
  <si>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</si>
  <si>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</si>
  <si>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</si>
  <si>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</si>
  <si>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</si>
  <si>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</si>
  <si>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</si>
  <si>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</si>
  <si>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</si>
  <si>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</si>
  <si>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</si>
  <si>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</si>
  <si>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</si>
  <si>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</si>
  <si>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</si>
  <si>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</si>
  <si>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</si>
  <si>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</si>
  <si>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</si>
  <si>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</si>
  <si>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</si>
  <si>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</si>
  <si>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</si>
  <si>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</si>
  <si>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</si>
  <si>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</si>
  <si>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</si>
  <si>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</si>
  <si>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</si>
  <si>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</si>
  <si>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</si>
  <si>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</si>
  <si>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</si>
  <si>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</si>
  <si>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</si>
  <si>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</si>
  <si>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</si>
  <si>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</si>
  <si>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</si>
  <si>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</si>
  <si>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</si>
  <si>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</si>
  <si>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</si>
  <si>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</si>
  <si>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</si>
  <si>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</si>
  <si>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</si>
  <si>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</si>
  <si>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</si>
  <si>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</si>
  <si>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</si>
  <si>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</si>
  <si>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</si>
  <si>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</si>
  <si>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</si>
  <si>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</si>
  <si>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</si>
  <si>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</si>
  <si>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</si>
  <si>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</si>
  <si>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</si>
  <si>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</si>
  <si>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</si>
  <si>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</si>
  <si>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</si>
  <si>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</si>
  <si>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</si>
  <si>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</si>
  <si>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</si>
  <si>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</si>
  <si>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</si>
  <si>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</si>
  <si>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</si>
  <si>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</si>
  <si>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</si>
  <si>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</si>
  <si>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</si>
  <si>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</si>
  <si>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</si>
  <si>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</si>
  <si>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</si>
  <si>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</si>
  <si>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</si>
  <si>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</si>
  <si>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</si>
  <si>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</si>
  <si>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</si>
  <si>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</si>
  <si>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</si>
  <si>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</si>
  <si>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</si>
  <si>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</si>
  <si>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</si>
  <si>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</si>
  <si>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</si>
  <si>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</si>
  <si>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</si>
  <si>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</si>
  <si>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</si>
  <si>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</si>
  <si>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</si>
  <si>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</si>
  <si>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</si>
  <si>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</si>
  <si>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</si>
  <si>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</si>
  <si>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</si>
  <si>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</si>
  <si>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</si>
  <si>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</si>
  <si>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</si>
  <si>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</si>
  <si>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</si>
  <si>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</si>
  <si>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</si>
  <si>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</si>
  <si>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</si>
  <si>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</si>
  <si>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</si>
  <si>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</si>
  <si>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</si>
  <si>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</si>
  <si>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</si>
  <si>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</si>
  <si>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</si>
  <si>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</si>
  <si>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</si>
  <si>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</si>
  <si>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</si>
  <si>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</si>
  <si>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</si>
  <si>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</si>
  <si>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</si>
  <si>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</si>
  <si>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</si>
  <si>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</si>
  <si>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</si>
  <si>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</si>
  <si>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</si>
  <si>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</si>
  <si>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</si>
  <si>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</si>
  <si>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</si>
  <si>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</si>
  <si>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</si>
  <si>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</si>
  <si>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</si>
  <si>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</si>
  <si>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</si>
  <si>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</si>
  <si>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</si>
  <si>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</si>
  <si>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</si>
  <si>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</si>
  <si>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</si>
  <si>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</si>
  <si>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</si>
  <si>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</si>
  <si>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</si>
  <si>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</si>
  <si>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</si>
  <si>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</si>
  <si>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</si>
  <si>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</si>
  <si>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</si>
  <si>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</si>
  <si>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</si>
  <si>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</si>
  <si>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</si>
  <si>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</si>
  <si>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</si>
  <si>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</si>
  <si>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</si>
  <si>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</si>
  <si>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</si>
  <si>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</si>
  <si>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</si>
  <si>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</si>
  <si>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</si>
  <si>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</si>
  <si>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</si>
  <si>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</si>
  <si>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</si>
  <si>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</si>
  <si>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</si>
  <si>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</si>
  <si>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Customer_Name</t>
  </si>
  <si>
    <t>Gender</t>
  </si>
  <si>
    <t>Age</t>
  </si>
  <si>
    <t>Customer_Type</t>
  </si>
  <si>
    <t>Aman</t>
  </si>
  <si>
    <t xml:space="preserve"> Male</t>
  </si>
  <si>
    <t>New</t>
  </si>
  <si>
    <t>Rahul</t>
  </si>
  <si>
    <t>Male</t>
  </si>
  <si>
    <t>Returning</t>
  </si>
  <si>
    <t>Priya</t>
  </si>
  <si>
    <t>Female</t>
  </si>
  <si>
    <t>Neha</t>
  </si>
  <si>
    <t>Rohit</t>
  </si>
  <si>
    <t>Anjali</t>
  </si>
  <si>
    <t>Karan</t>
  </si>
  <si>
    <t>Pooja</t>
  </si>
  <si>
    <t>Vikas</t>
  </si>
  <si>
    <t>Simran</t>
  </si>
  <si>
    <t>Arjun</t>
  </si>
  <si>
    <t>Riya</t>
  </si>
  <si>
    <t>Mohit</t>
  </si>
  <si>
    <t>Shreya</t>
  </si>
  <si>
    <t>Varun</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</si>
  <si>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</si>
  <si>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</si>
  <si>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</si>
  <si>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</si>
  <si>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</si>
  <si>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</si>
  <si>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</si>
  <si>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</si>
  <si>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</si>
  <si>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</si>
  <si>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</si>
  <si>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</si>
  <si>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</si>
  <si>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</si>
  <si>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</si>
  <si>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</si>
  <si>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</si>
  <si>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</si>
  <si>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</si>
  <si>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</si>
  <si>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</si>
  <si>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</si>
  <si>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</si>
  <si>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</si>
  <si>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</si>
  <si>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</si>
  <si>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</si>
  <si>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</si>
  <si>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</si>
  <si>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</si>
  <si>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</si>
  <si>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</si>
  <si>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</si>
  <si>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</si>
  <si>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</si>
  <si>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</si>
  <si>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</si>
  <si>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</si>
  <si>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</si>
  <si>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</si>
  <si>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</si>
  <si>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</si>
  <si>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</si>
  <si>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</si>
  <si>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</si>
  <si>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</si>
  <si>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</si>
  <si>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</si>
  <si>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</si>
  <si>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</si>
  <si>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</si>
  <si>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</si>
  <si>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</si>
  <si>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</si>
  <si>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</si>
  <si>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</si>
  <si>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</si>
  <si>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</si>
  <si>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</si>
  <si>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</si>
  <si>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</si>
  <si>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</si>
  <si>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</si>
  <si>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</si>
  <si>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</si>
  <si>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</si>
  <si>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</si>
  <si>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</si>
  <si>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</si>
  <si>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</si>
  <si>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</si>
  <si>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</si>
  <si>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</si>
  <si>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</si>
  <si>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</si>
  <si>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</si>
  <si>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</si>
  <si>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</si>
  <si>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</si>
  <si>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</si>
  <si>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</si>
  <si>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</si>
  <si>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</si>
  <si>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</si>
  <si>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</si>
  <si>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</si>
  <si>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</si>
  <si>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</si>
  <si>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</si>
  <si>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</si>
  <si>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</si>
  <si>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</si>
  <si>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</si>
  <si>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</si>
  <si>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</si>
  <si>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</si>
  <si>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</si>
  <si>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</si>
  <si>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</si>
  <si>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</si>
  <si>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</si>
  <si>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</si>
  <si>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</si>
  <si>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</si>
  <si>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</si>
  <si>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</si>
  <si>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</si>
  <si>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</si>
  <si>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</si>
  <si>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</si>
  <si>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</si>
  <si>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</si>
  <si>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</si>
  <si>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</si>
  <si>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</si>
  <si>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</si>
  <si>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</si>
  <si>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</si>
  <si>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</si>
  <si>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</si>
  <si>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</si>
  <si>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</si>
  <si>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</si>
  <si>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</si>
  <si>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</si>
  <si>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</si>
  <si>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</si>
  <si>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</si>
  <si>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</si>
  <si>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</si>
  <si>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</si>
  <si>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</si>
  <si>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</si>
  <si>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</si>
  <si>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</si>
  <si>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</si>
  <si>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</si>
  <si>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</si>
  <si>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</si>
  <si>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</si>
  <si>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</si>
  <si>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</si>
  <si>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</si>
  <si>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</si>
  <si>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</si>
  <si>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</si>
  <si>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</si>
  <si>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</si>
  <si>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</si>
  <si>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</si>
  <si>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</si>
  <si>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</si>
  <si>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</si>
  <si>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</si>
  <si>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</si>
  <si>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</si>
  <si>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</si>
  <si>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</si>
  <si>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</si>
  <si>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</si>
  <si>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</si>
  <si>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</si>
  <si>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</si>
  <si>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</si>
  <si>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</si>
  <si>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</si>
  <si>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</si>
  <si>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</si>
  <si>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</si>
  <si>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</si>
  <si>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</si>
  <si>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</si>
  <si>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</si>
  <si>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</si>
  <si>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</si>
  <si>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</si>
  <si>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</si>
  <si>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</si>
  <si>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</si>
  <si>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</si>
  <si>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</si>
  <si>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</si>
  <si>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</si>
  <si>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</si>
  <si>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</si>
  <si>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</si>
  <si>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</si>
  <si>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</si>
  <si>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</si>
  <si>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</si>
  <si>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</si>
  <si>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</si>
  <si>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</si>
  <si>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</si>
  <si>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</si>
  <si>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</si>
  <si>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</si>
  <si>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</si>
  <si>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</si>
  <si>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</si>
  <si>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</si>
  <si>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</si>
  <si>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</si>
  <si>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</si>
  <si>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</si>
  <si>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</si>
  <si>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</si>
  <si>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</si>
  <si>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</si>
  <si>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</si>
  <si>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</si>
  <si>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</si>
  <si>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</si>
  <si>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</si>
  <si>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</si>
  <si>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</si>
  <si>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</si>
  <si>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</si>
  <si>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</si>
  <si>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</si>
  <si>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</si>
  <si>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</si>
  <si>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</si>
  <si>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</si>
  <si>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</si>
  <si>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</si>
  <si>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</si>
  <si>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</si>
  <si>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</si>
  <si>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</si>
  <si>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</si>
  <si>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</si>
  <si>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</si>
  <si>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</si>
  <si>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</si>
  <si>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</si>
  <si>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</si>
  <si>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</si>
  <si>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</si>
  <si>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</si>
  <si>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</si>
  <si>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</si>
  <si>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</si>
  <si>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</si>
  <si>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</si>
  <si>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</si>
  <si>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</si>
  <si>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</si>
  <si>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</si>
  <si>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</si>
  <si>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</si>
  <si>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</si>
  <si>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</si>
  <si>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</si>
  <si>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</si>
  <si>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</si>
  <si>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</si>
  <si>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</si>
  <si>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</si>
  <si>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</si>
  <si>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</si>
  <si>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</si>
  <si>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</si>
  <si>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</si>
  <si>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</si>
  <si>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</si>
  <si>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</si>
  <si>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</si>
  <si>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</si>
  <si>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</si>
  <si>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</si>
  <si>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</si>
  <si>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</si>
  <si>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</si>
  <si>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</si>
  <si>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</si>
  <si>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</si>
  <si>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</si>
  <si>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</si>
  <si>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</si>
  <si>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</si>
  <si>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</si>
  <si>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</si>
  <si>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</si>
  <si>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</si>
  <si>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</si>
  <si>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</si>
  <si>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</si>
  <si>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</si>
  <si>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</si>
  <si>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</si>
  <si>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</si>
  <si>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</si>
  <si>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</si>
  <si>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</si>
  <si>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</si>
  <si>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</si>
  <si>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</si>
  <si>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</si>
  <si>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</si>
  <si>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</si>
  <si>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</si>
  <si>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</si>
  <si>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</si>
  <si>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</si>
  <si>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</si>
  <si>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</si>
  <si>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</si>
  <si>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</si>
  <si>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</si>
  <si>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</si>
  <si>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</si>
  <si>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</si>
  <si>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</si>
  <si>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</si>
  <si>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</si>
  <si>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</si>
  <si>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</si>
  <si>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</si>
  <si>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</si>
  <si>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</si>
  <si>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</si>
  <si>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</si>
  <si>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</si>
  <si>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</si>
  <si>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</si>
  <si>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</si>
  <si>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</si>
  <si>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</si>
  <si>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</si>
  <si>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</si>
  <si>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</si>
  <si>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</si>
  <si>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</si>
  <si>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</si>
  <si>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</si>
  <si>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</si>
  <si>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</si>
  <si>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</si>
  <si>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</si>
  <si>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</si>
  <si>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</si>
  <si>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</si>
  <si>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</si>
  <si>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</si>
  <si>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</si>
  <si>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</si>
  <si>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</si>
  <si>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</si>
  <si>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</si>
  <si>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</si>
  <si>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</si>
  <si>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</si>
  <si>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</si>
  <si>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</si>
  <si>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</si>
  <si>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</si>
  <si>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</si>
  <si>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</si>
  <si>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</si>
  <si>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</si>
  <si>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</si>
  <si>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</si>
  <si>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</si>
  <si>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</si>
  <si>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</si>
  <si>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</si>
  <si>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</si>
  <si>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</si>
  <si>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</si>
  <si>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</si>
  <si>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</si>
  <si>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</si>
  <si>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</si>
  <si>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</si>
  <si>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</si>
  <si>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</si>
  <si>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</si>
  <si>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</si>
  <si>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</si>
  <si>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</si>
  <si>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</si>
  <si>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</si>
  <si>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</si>
  <si>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</si>
  <si>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</si>
  <si>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</si>
  <si>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</si>
  <si>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</si>
  <si>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</si>
  <si>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</si>
  <si>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</si>
  <si>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</si>
  <si>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</si>
  <si>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</si>
  <si>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</si>
  <si>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</si>
  <si>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</si>
  <si>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</si>
  <si>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</si>
  <si>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</si>
  <si>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</si>
  <si>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</si>
  <si>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</si>
  <si>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</si>
  <si>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</si>
  <si>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</si>
  <si>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</si>
  <si>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</si>
  <si>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</si>
  <si>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</si>
  <si>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</si>
  <si>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</si>
  <si>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</si>
  <si>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</si>
  <si>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</si>
  <si>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</si>
  <si>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</si>
  <si>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</si>
  <si>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</si>
  <si>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</si>
  <si>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</si>
  <si>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</si>
  <si>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</si>
  <si>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</si>
  <si>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</si>
  <si>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</si>
  <si>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</si>
  <si>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</si>
  <si>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</si>
  <si>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</si>
  <si>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</si>
  <si>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</si>
  <si>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</si>
  <si>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</si>
  <si>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</si>
  <si>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</si>
  <si>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</si>
  <si>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</si>
  <si>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</si>
  <si>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</si>
  <si>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</si>
  <si>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</si>
  <si>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</si>
  <si>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</si>
  <si>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</si>
  <si>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</si>
  <si>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</si>
  <si>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</si>
  <si>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</si>
  <si>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</si>
  <si>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</si>
  <si>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</si>
  <si>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</si>
  <si>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</si>
  <si>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</si>
  <si>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</si>
  <si>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</si>
  <si>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</si>
  <si>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</si>
  <si>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</si>
  <si>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</si>
  <si>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</si>
  <si>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</si>
  <si>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</si>
  <si>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</si>
  <si>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</si>
  <si>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</si>
  <si>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</si>
  <si>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</si>
  <si>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</si>
  <si>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</si>
  <si>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</si>
  <si>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</si>
  <si>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</si>
  <si>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</si>
  <si>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</si>
  <si>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</si>
  <si>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</si>
  <si>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</si>
  <si>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</si>
  <si>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</si>
  <si>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</si>
  <si>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</si>
  <si>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</si>
  <si>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Employee_Name</t>
  </si>
  <si>
    <t>Department</t>
  </si>
  <si>
    <t>Target_Sales</t>
  </si>
  <si>
    <t>Amit</t>
  </si>
  <si>
    <t>Sales</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</si>
  <si>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</si>
  <si>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</si>
  <si>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</si>
  <si>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</si>
  <si>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</si>
  <si>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</si>
  <si>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</si>
  <si>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</si>
  <si>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</si>
  <si>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</si>
  <si>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</si>
  <si>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</si>
  <si>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</si>
  <si>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</si>
  <si>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</si>
  <si>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</si>
  <si>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</si>
  <si>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</si>
  <si>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</si>
  <si>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</si>
  <si>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</si>
  <si>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</si>
  <si>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</si>
  <si>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</si>
  <si>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</si>
  <si>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</si>
  <si>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</si>
  <si>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</si>
  <si>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</si>
  <si>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</si>
  <si>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</si>
  <si>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</si>
  <si>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</si>
  <si>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</si>
  <si>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</si>
  <si>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</si>
  <si>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</si>
  <si>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</si>
  <si>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</si>
  <si>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</si>
  <si>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</si>
  <si>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</si>
  <si>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</si>
  <si>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</si>
  <si>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</si>
  <si>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</si>
  <si>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</si>
  <si>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</si>
  <si>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</si>
  <si>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</si>
  <si>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</si>
  <si>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</si>
  <si>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</si>
  <si>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</si>
  <si>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</si>
  <si>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</si>
  <si>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</si>
  <si>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</si>
  <si>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</si>
  <si>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</si>
  <si>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</si>
  <si>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</si>
  <si>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</si>
  <si>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</si>
  <si>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</si>
  <si>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</si>
  <si>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</si>
  <si>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</si>
  <si>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</si>
  <si>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</si>
  <si>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</si>
  <si>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</si>
  <si>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</si>
  <si>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</si>
  <si>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</si>
  <si>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</si>
  <si>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</si>
  <si>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</si>
  <si>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</si>
  <si>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</si>
  <si>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</si>
  <si>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</si>
  <si>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</si>
  <si>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</si>
  <si>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</si>
  <si>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</si>
  <si>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</si>
  <si>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</si>
  <si>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</si>
  <si>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</si>
  <si>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</si>
  <si>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</si>
  <si>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</si>
  <si>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</si>
  <si>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</si>
  <si>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</si>
  <si>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</si>
  <si>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</si>
  <si>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</si>
  <si>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</si>
  <si>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</si>
  <si>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</si>
  <si>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</si>
  <si>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</si>
  <si>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</si>
  <si>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</si>
  <si>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</si>
  <si>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</si>
  <si>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</si>
  <si>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</si>
  <si>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</si>
  <si>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</si>
  <si>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</si>
  <si>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</si>
  <si>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</si>
  <si>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</si>
  <si>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</si>
  <si>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</si>
  <si>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</si>
  <si>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</si>
  <si>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</si>
  <si>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</si>
  <si>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</si>
  <si>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</si>
  <si>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</si>
  <si>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</si>
  <si>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</si>
  <si>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</si>
  <si>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</si>
  <si>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</si>
  <si>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</si>
  <si>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</si>
  <si>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</si>
  <si>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</si>
  <si>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</si>
  <si>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</si>
  <si>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</si>
  <si>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</si>
  <si>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</si>
  <si>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</si>
  <si>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</si>
  <si>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</si>
  <si>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</si>
  <si>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</si>
  <si>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</si>
  <si>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</si>
  <si>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</si>
  <si>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</si>
  <si>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</si>
  <si>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</si>
  <si>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</si>
  <si>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</si>
  <si>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</si>
  <si>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</si>
  <si>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</si>
  <si>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</si>
  <si>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</si>
  <si>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</si>
  <si>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</si>
  <si>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</si>
  <si>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</si>
  <si>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</si>
  <si>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</si>
  <si>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</si>
  <si>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</si>
  <si>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</si>
  <si>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</si>
  <si>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</si>
  <si>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</si>
  <si>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</si>
  <si>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</si>
  <si>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</si>
  <si>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</si>
  <si>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</si>
  <si>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</si>
  <si>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</si>
  <si>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</si>
  <si>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</si>
  <si>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</si>
  <si>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</si>
  <si>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</si>
  <si>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</si>
  <si>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</si>
  <si>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</si>
  <si>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</si>
  <si>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</si>
  <si>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</si>
  <si>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</si>
  <si>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</si>
  <si>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</si>
  <si>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</si>
  <si>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</si>
  <si>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</si>
  <si>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</si>
  <si>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</si>
  <si>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</si>
  <si>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</si>
  <si>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</si>
  <si>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</si>
  <si>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</si>
  <si>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</si>
  <si>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</si>
  <si>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</si>
  <si>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</si>
  <si>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</si>
  <si>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</si>
  <si>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</si>
  <si>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</si>
  <si>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</si>
  <si>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</si>
  <si>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</si>
  <si>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</si>
  <si>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</si>
  <si>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</si>
  <si>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</si>
  <si>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</si>
  <si>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</si>
  <si>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</si>
  <si>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</si>
  <si>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</si>
  <si>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</si>
  <si>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</si>
  <si>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</si>
  <si>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</si>
  <si>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</si>
  <si>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</si>
  <si>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</si>
  <si>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</si>
  <si>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</si>
  <si>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</si>
  <si>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</si>
  <si>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</si>
  <si>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</si>
  <si>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</si>
  <si>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</si>
  <si>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</si>
  <si>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</si>
  <si>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</si>
  <si>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</si>
  <si>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</si>
  <si>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</si>
  <si>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</si>
  <si>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</si>
  <si>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</si>
  <si>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</si>
  <si>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</si>
  <si>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</si>
  <si>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</si>
  <si>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</si>
  <si>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</si>
  <si>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</si>
  <si>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</si>
  <si>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</si>
  <si>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</si>
  <si>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</si>
  <si>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</si>
  <si>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</si>
  <si>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</si>
  <si>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</si>
  <si>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</si>
  <si>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</si>
  <si>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</si>
  <si>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</si>
  <si>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</si>
  <si>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</si>
  <si>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</si>
  <si>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</si>
  <si>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</si>
  <si>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</si>
  <si>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</si>
  <si>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</si>
  <si>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</si>
  <si>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</si>
  <si>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</si>
  <si>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</si>
  <si>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</si>
  <si>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</si>
  <si>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</si>
  <si>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</si>
  <si>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</si>
  <si>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</si>
  <si>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</si>
  <si>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</si>
  <si>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</si>
  <si>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</si>
  <si>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</si>
  <si>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</si>
  <si>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</si>
  <si>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</si>
  <si>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</si>
  <si>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</si>
  <si>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</si>
  <si>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</si>
  <si>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</si>
  <si>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</si>
  <si>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</si>
  <si>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</si>
  <si>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</si>
  <si>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</si>
  <si>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</si>
  <si>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</si>
  <si>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</si>
  <si>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</si>
  <si>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</si>
  <si>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</si>
  <si>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</si>
  <si>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</si>
  <si>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</si>
  <si>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</si>
  <si>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</si>
  <si>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</si>
  <si>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</si>
  <si>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</si>
  <si>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</si>
  <si>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</si>
  <si>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</si>
  <si>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</si>
  <si>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</si>
  <si>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</si>
  <si>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</si>
  <si>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</si>
  <si>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</si>
  <si>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</si>
  <si>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</si>
  <si>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</si>
  <si>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</si>
  <si>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</si>
  <si>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</si>
  <si>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</si>
  <si>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</si>
  <si>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</si>
  <si>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</si>
  <si>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</si>
  <si>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</si>
  <si>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</si>
  <si>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</si>
  <si>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</si>
  <si>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</si>
  <si>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</si>
  <si>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</si>
  <si>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</si>
  <si>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</si>
  <si>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</si>
  <si>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</si>
  <si>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</si>
  <si>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</si>
  <si>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</si>
  <si>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</si>
  <si>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</si>
  <si>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</si>
  <si>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</si>
  <si>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</si>
  <si>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</si>
  <si>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</si>
  <si>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</si>
  <si>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</si>
  <si>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</si>
  <si>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</si>
  <si>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</si>
  <si>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</si>
  <si>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</si>
  <si>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</si>
  <si>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</si>
  <si>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</si>
  <si>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</si>
  <si>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</si>
  <si>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</si>
  <si>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</si>
  <si>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</si>
  <si>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</si>
  <si>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</si>
  <si>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</si>
  <si>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</si>
  <si>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</si>
  <si>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</si>
  <si>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</si>
  <si>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</si>
  <si>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</si>
  <si>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</si>
  <si>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</si>
  <si>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</si>
  <si>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</si>
  <si>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</si>
  <si>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</si>
  <si>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</si>
  <si>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</si>
  <si>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</si>
  <si>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</si>
  <si>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</si>
  <si>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</si>
  <si>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</si>
  <si>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</si>
  <si>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</si>
  <si>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</si>
  <si>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</si>
  <si>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</si>
  <si>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</si>
  <si>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</si>
  <si>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</si>
  <si>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</si>
  <si>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</si>
  <si>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</si>
  <si>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</si>
  <si>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</si>
  <si>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</si>
  <si>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</si>
  <si>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</si>
  <si>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</si>
  <si>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</si>
  <si>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</si>
  <si>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</si>
  <si>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</si>
  <si>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</si>
  <si>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</si>
  <si>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</si>
  <si>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</si>
  <si>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</si>
  <si>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</si>
  <si>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</si>
  <si>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</si>
  <si>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</si>
  <si>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</si>
  <si>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</si>
  <si>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</si>
  <si>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</si>
  <si>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</si>
  <si>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</si>
  <si>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</si>
  <si>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</si>
  <si>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</si>
  <si>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</si>
  <si>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</si>
  <si>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</si>
  <si>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</si>
  <si>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</si>
  <si>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</si>
  <si>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</si>
  <si>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</si>
  <si>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</si>
  <si>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</si>
  <si>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</si>
  <si>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</si>
  <si>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</si>
  <si>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</si>
  <si>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</si>
  <si>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</si>
  <si>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</si>
  <si>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</si>
  <si>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</si>
  <si>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</si>
  <si>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</si>
  <si>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</si>
  <si>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</si>
  <si>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</si>
  <si>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</si>
  <si>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</si>
  <si>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</si>
  <si>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</si>
  <si>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</si>
  <si>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</si>
  <si>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</si>
  <si>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</si>
  <si>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</si>
  <si>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</si>
  <si>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</si>
  <si>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</si>
  <si>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</si>
  <si>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</si>
  <si>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</si>
  <si>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</si>
  <si>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</si>
  <si>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</si>
  <si>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</si>
  <si>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</si>
  <si>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</si>
  <si>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</si>
  <si>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</si>
  <si>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</si>
  <si>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</si>
  <si>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</si>
  <si>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</si>
  <si>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</si>
  <si>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</si>
  <si>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</si>
  <si>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</si>
  <si>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</si>
  <si>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</si>
  <si>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</si>
  <si>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</si>
  <si>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</si>
  <si>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</si>
  <si>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</si>
  <si>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</si>
  <si>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</si>
  <si>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</si>
  <si>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Month</t>
  </si>
  <si>
    <t>April</t>
  </si>
  <si>
    <t>May</t>
  </si>
  <si>
    <t>June</t>
  </si>
  <si>
    <t>July</t>
  </si>
  <si>
    <t>August</t>
  </si>
  <si>
    <t>September</t>
  </si>
  <si>
    <t>October</t>
  </si>
  <si>
    <t>November</t>
  </si>
  <si>
    <t>December</t>
  </si>
  <si>
    <t>January</t>
  </si>
  <si>
    <t>February</t>
  </si>
  <si>
    <t>March</t>
  </si>
  <si>
    <t>Product Name</t>
  </si>
  <si>
    <t>Catgeroy</t>
  </si>
  <si>
    <t>Unit_cost</t>
  </si>
  <si>
    <t>Seling_price</t>
  </si>
  <si>
    <t>Gross Sales</t>
  </si>
  <si>
    <t>Discount Amount</t>
  </si>
  <si>
    <t>Profit</t>
  </si>
  <si>
    <t>Net sales</t>
  </si>
  <si>
    <t>Total cost</t>
  </si>
  <si>
    <t>Total Sales</t>
  </si>
  <si>
    <t>Total Profit</t>
  </si>
  <si>
    <t>Total Orders</t>
  </si>
  <si>
    <t>Total Quantity</t>
  </si>
  <si>
    <t>Average Order Value</t>
  </si>
  <si>
    <t>Total Qty</t>
  </si>
  <si>
    <t>Target</t>
  </si>
  <si>
    <t>Achievement %</t>
  </si>
  <si>
    <t>Emp_Name</t>
  </si>
  <si>
    <t>Orders</t>
  </si>
  <si>
    <t>Customer Name</t>
  </si>
  <si>
    <t>Customer Type</t>
  </si>
  <si>
    <t>Top 5 Product</t>
  </si>
  <si>
    <t xml:space="preserve"> Sales</t>
  </si>
  <si>
    <t>By Profit</t>
  </si>
  <si>
    <t>By QTY</t>
  </si>
  <si>
    <t xml:space="preserve"> Category</t>
  </si>
  <si>
    <t>By Sales</t>
  </si>
  <si>
    <t>Target status</t>
  </si>
  <si>
    <t>Top 10 Customers by Sales</t>
  </si>
  <si>
    <t>Average Delivery Days</t>
  </si>
  <si>
    <t xml:space="preserve">        Return Rate</t>
  </si>
  <si>
    <t xml:space="preserve">    Cancellation Rate</t>
  </si>
  <si>
    <t>Row Labels</t>
  </si>
  <si>
    <t>Grand Total</t>
  </si>
  <si>
    <t>Sum of Total Sales</t>
  </si>
  <si>
    <t>Sum of  Sales</t>
  </si>
  <si>
    <t>Sum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</si>
</sst>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73" formatCode="0.0000"/>
    <numFmt numFmtId="175" formatCode="&quot;₹&quot;\ #,##0.00"/>
  </numFmts>
  <fonts count="6" x14ac:knownFonts="1">
    <font>
      <sz val="11"/>
      <color theme="1"/>
      <name val="Calibri"/>
      <family val="2"/>
      <scheme val="minor"/>
    </font>
    <font>
      <b/>
      <sz val="11"/>
      <color theme="1"/>
      <name val="Calibri"/>
      <family val="2"/>
      <scheme val="minor"/>
    </font>
    <font>
      <sz val="8"/>
      <name val="Calibri"/>
      <family val="2"/>
      <scheme val="minor"/>
    </font>
    <font>
      <sz val="11"/>
      <color theme="9" tint="-0.499984740745262"/>
      <name val="Calibri"/>
      <family val="2"/>
      <scheme val="minor"/>
    </font>
    <font>
      <b/>
      <sz val="11"/>
      <color rgb="FFFF0000"/>
      <name val="Calibri"/>
      <family val="2"/>
      <scheme val="minor"/>
    </font>
    <font>
      <b/>
      <sz val="11"/>
      <color rgb="FF7030A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3"/>
        <bgColor indexed="64"/>
      </patternFill>
    </fill>
    <fill>
      <patternFill patternType="solid">
        <fgColor theme="5"/>
        <bgColor indexed="64"/>
      </patternFill>
    </fill>
    <fill>
      <patternFill patternType="solid">
        <fgColor rgb="FFFF0000"/>
        <bgColor indexed="64"/>
      </patternFill>
    </fill>
    <fill>
      <patternFill patternType="solid">
        <fgColor theme="8" tint="0.39997558519241921"/>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42">
    <xf numFmtId="0" fontId="0" fillId="0" borderId="0" xfId="0"/>
    <xf numFmtId="0" fontId="0" fillId="0" borderId="0" xfId="0" applyAlignment="1">
      <alignment horizontal="center" vertical="center" wrapText="1"/>
    </xf>
    <xf numFmtId="0" fontId="0" fillId="0" borderId="0" xfId="0" applyAlignment="1">
      <alignment horizontal="center"/>
    </xf>
    <xf numFmtId="0" fontId="1" fillId="2" borderId="0" xfId="0" applyFont="1" applyFill="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center"/>
    </xf>
    <xf numFmtId="9" fontId="0" fillId="0" borderId="0" xfId="0" applyNumberFormat="1" applyAlignment="1">
      <alignment horizontal="center"/>
    </xf>
    <xf numFmtId="9" fontId="0" fillId="0" borderId="0" xfId="0" applyNumberFormat="1" applyAlignment="1">
      <alignment horizontal="center" vertical="center"/>
    </xf>
    <xf numFmtId="14" fontId="0" fillId="0" borderId="0" xfId="0" applyNumberFormat="1" applyAlignment="1">
      <alignment horizontal="center" vertical="center" wrapText="1"/>
    </xf>
    <xf numFmtId="9" fontId="0" fillId="0" borderId="0" xfId="0" applyNumberFormat="1" applyAlignment="1">
      <alignment horizontal="center" vertical="center" wrapText="1"/>
    </xf>
    <xf numFmtId="1" fontId="0" fillId="0" borderId="0" xfId="0" applyNumberFormat="1" applyAlignment="1">
      <alignment horizontal="center"/>
    </xf>
    <xf numFmtId="1" fontId="0" fillId="0" borderId="0" xfId="0" applyNumberFormat="1" applyAlignment="1">
      <alignment horizontal="center" vertical="center"/>
    </xf>
    <xf numFmtId="1" fontId="0" fillId="0" borderId="0" xfId="0" applyNumberFormat="1" applyAlignment="1">
      <alignment horizontal="center" vertical="center" wrapText="1"/>
    </xf>
    <xf numFmtId="1" fontId="0" fillId="0" borderId="0" xfId="0" applyNumberFormat="1"/>
    <xf numFmtId="0" fontId="1" fillId="2" borderId="0" xfId="0" applyFont="1" applyFill="1"/>
    <xf numFmtId="0" fontId="1" fillId="2" borderId="0" xfId="0" applyFont="1" applyFill="1" applyAlignment="1">
      <alignment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horizontal="center"/>
    </xf>
    <xf numFmtId="164" fontId="0" fillId="0" borderId="0" xfId="0" applyNumberFormat="1" applyAlignment="1">
      <alignment horizontal="center"/>
    </xf>
    <xf numFmtId="0" fontId="0" fillId="0" borderId="0" xfId="0" applyAlignment="1">
      <alignment horizontal="right" vertical="center" wrapText="1"/>
    </xf>
    <xf numFmtId="0" fontId="3" fillId="0" borderId="0" xfId="0" applyFont="1"/>
    <xf numFmtId="0" fontId="4"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0" fillId="6" borderId="0" xfId="0" applyFill="1" applyAlignment="1">
      <alignment horizontal="center"/>
    </xf>
    <xf numFmtId="0" fontId="1" fillId="7" borderId="0" xfId="0" applyFont="1" applyFill="1"/>
    <xf numFmtId="0" fontId="1" fillId="8" borderId="0" xfId="0" applyFont="1" applyFill="1" applyAlignment="1">
      <alignment horizontal="center" vertical="center"/>
    </xf>
    <xf numFmtId="0" fontId="1" fillId="8" borderId="0" xfId="0" applyFont="1" applyFill="1" applyAlignment="1">
      <alignment horizontal="center" vertical="center" wrapText="1"/>
    </xf>
    <xf numFmtId="173" fontId="0" fillId="0" borderId="0" xfId="0" applyNumberFormat="1" applyAlignment="1">
      <alignment horizontal="center"/>
    </xf>
    <xf numFmtId="0" fontId="5" fillId="8" borderId="0" xfId="0" applyFont="1" applyFill="1"/>
    <xf numFmtId="0" fontId="5" fillId="8" borderId="0" xfId="0" applyFont="1" applyFill="1" applyAlignment="1"/>
    <xf numFmtId="17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pivotCacheDefinition" Target="pivotCache/pivotCacheDefinition2.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Beauty</c:v>
                </c:pt>
                <c:pt idx="1">
                  <c:v>Clothing</c:v>
                </c:pt>
                <c:pt idx="2">
                  <c:v>Electronics</c:v>
                </c:pt>
                <c:pt idx="3">
                  <c:v>Furniture</c:v>
                </c:pt>
                <c:pt idx="4">
                  <c:v>Sports</c:v>
                </c:pt>
              </c:strCache>
            </c:strRef>
          </c:cat>
          <c:val>
            <c:numRef>
              <c:f>Sheet1!$B$4:$B$9</c:f>
              <c:numCache>
                <c:formatCode>0</c:formatCode>
                <c:ptCount val="5"/>
                <c:pt idx="0">
                  <c:v>55018.393669994999</c:v>
                </c:pt>
                <c:pt idx="1">
                  <c:v>586825.11339893215</c:v>
                </c:pt>
                <c:pt idx="2">
                  <c:v>12493511.709929336</c:v>
                </c:pt>
                <c:pt idx="3">
                  <c:v>2332948.3667401997</c:v>
                </c:pt>
                <c:pt idx="4">
                  <c:v>642112.93084499624</c:v>
                </c:pt>
              </c:numCache>
            </c:numRef>
          </c:val>
          <c:extLst>
            <c:ext xmlns:c16="http://schemas.microsoft.com/office/drawing/2014/chart" uri="{C3380CC4-5D6E-409C-BE32-E72D297353CC}">
              <c16:uniqueId val="{00000000-20F4-406D-92D2-DFFBE61B0CAE}"/>
            </c:ext>
          </c:extLst>
        </c:ser>
        <c:dLbls>
          <c:showLegendKey val="0"/>
          <c:showVal val="0"/>
          <c:showCatName val="0"/>
          <c:showSerName val="0"/>
          <c:showPercent val="0"/>
          <c:showBubbleSize val="0"/>
        </c:dLbls>
        <c:gapWidth val="219"/>
        <c:overlap val="-27"/>
        <c:axId val="474631456"/>
        <c:axId val="449701328"/>
      </c:barChart>
      <c:catAx>
        <c:axId val="47463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01328"/>
        <c:crosses val="autoZero"/>
        <c:auto val="1"/>
        <c:lblAlgn val="ctr"/>
        <c:lblOffset val="100"/>
        <c:noMultiLvlLbl val="0"/>
      </c:catAx>
      <c:valAx>
        <c:axId val="449701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Analysis!$X$36</c:f>
              <c:strCache>
                <c:ptCount val="1"/>
                <c:pt idx="0">
                  <c:v>Total</c:v>
                </c:pt>
              </c:strCache>
            </c:strRef>
          </c:tx>
          <c:spPr>
            <a:solidFill>
              <a:schemeClr val="accent1"/>
            </a:solidFill>
            <a:ln>
              <a:noFill/>
            </a:ln>
            <a:effectLst/>
            <a:sp3d/>
          </c:spPr>
          <c:invertIfNegative val="0"/>
          <c:cat>
            <c:strRef>
              <c:f>Analysis!$W$37:$W$43</c:f>
              <c:strCache>
                <c:ptCount val="6"/>
                <c:pt idx="0">
                  <c:v>Delhi</c:v>
                </c:pt>
                <c:pt idx="1">
                  <c:v>Ghaziabad</c:v>
                </c:pt>
                <c:pt idx="2">
                  <c:v>Gurugram</c:v>
                </c:pt>
                <c:pt idx="3">
                  <c:v>Jaipur</c:v>
                </c:pt>
                <c:pt idx="4">
                  <c:v>Meerut</c:v>
                </c:pt>
                <c:pt idx="5">
                  <c:v>Noida</c:v>
                </c:pt>
              </c:strCache>
            </c:strRef>
          </c:cat>
          <c:val>
            <c:numRef>
              <c:f>Analysis!$X$37:$X$43</c:f>
              <c:numCache>
                <c:formatCode>0</c:formatCode>
                <c:ptCount val="6"/>
                <c:pt idx="0">
                  <c:v>5792471.4352941122</c:v>
                </c:pt>
                <c:pt idx="1">
                  <c:v>2503160.1008403325</c:v>
                </c:pt>
                <c:pt idx="2">
                  <c:v>232265.41176470561</c:v>
                </c:pt>
                <c:pt idx="3">
                  <c:v>8760.2218487394875</c:v>
                </c:pt>
                <c:pt idx="4">
                  <c:v>1880016.2285714266</c:v>
                </c:pt>
                <c:pt idx="5">
                  <c:v>3426598.1234093583</c:v>
                </c:pt>
              </c:numCache>
            </c:numRef>
          </c:val>
          <c:extLst>
            <c:ext xmlns:c16="http://schemas.microsoft.com/office/drawing/2014/chart" uri="{C3380CC4-5D6E-409C-BE32-E72D297353CC}">
              <c16:uniqueId val="{00000000-6D42-4D51-A80F-45BB6A4F839B}"/>
            </c:ext>
          </c:extLst>
        </c:ser>
        <c:dLbls>
          <c:showLegendKey val="0"/>
          <c:showVal val="0"/>
          <c:showCatName val="0"/>
          <c:showSerName val="0"/>
          <c:showPercent val="0"/>
          <c:showBubbleSize val="0"/>
        </c:dLbls>
        <c:gapWidth val="150"/>
        <c:shape val="box"/>
        <c:axId val="474714512"/>
        <c:axId val="2067226607"/>
        <c:axId val="0"/>
      </c:bar3DChart>
      <c:catAx>
        <c:axId val="47471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26607"/>
        <c:crosses val="autoZero"/>
        <c:auto val="1"/>
        <c:lblAlgn val="ctr"/>
        <c:lblOffset val="100"/>
        <c:noMultiLvlLbl val="0"/>
      </c:catAx>
      <c:valAx>
        <c:axId val="20672266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71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Analysis!$Y$62</c:f>
              <c:strCache>
                <c:ptCount val="1"/>
                <c:pt idx="0">
                  <c:v>Total</c:v>
                </c:pt>
              </c:strCache>
            </c:strRef>
          </c:tx>
          <c:spPr>
            <a:solidFill>
              <a:schemeClr val="accent1"/>
            </a:solidFill>
            <a:ln>
              <a:noFill/>
            </a:ln>
            <a:effectLst/>
            <a:sp3d/>
          </c:spPr>
          <c:invertIfNegative val="0"/>
          <c:cat>
            <c:strRef>
              <c:f>Analysis!$X$63:$X$68</c:f>
              <c:strCache>
                <c:ptCount val="5"/>
                <c:pt idx="0">
                  <c:v>Laptop</c:v>
                </c:pt>
                <c:pt idx="1">
                  <c:v>Mixer Grinder</c:v>
                </c:pt>
                <c:pt idx="2">
                  <c:v>Office Chair</c:v>
                </c:pt>
                <c:pt idx="3">
                  <c:v>Smartphone</c:v>
                </c:pt>
                <c:pt idx="4">
                  <c:v>Study Table</c:v>
                </c:pt>
              </c:strCache>
            </c:strRef>
          </c:cat>
          <c:val>
            <c:numRef>
              <c:f>Analysis!$Y$63:$Y$68</c:f>
              <c:numCache>
                <c:formatCode>0</c:formatCode>
                <c:ptCount val="5"/>
                <c:pt idx="0">
                  <c:v>7687278.6554621812</c:v>
                </c:pt>
                <c:pt idx="1">
                  <c:v>447187.76470588194</c:v>
                </c:pt>
                <c:pt idx="2">
                  <c:v>731075.29411764641</c:v>
                </c:pt>
                <c:pt idx="3">
                  <c:v>2165938.8235294106</c:v>
                </c:pt>
                <c:pt idx="4">
                  <c:v>831161.34453781438</c:v>
                </c:pt>
              </c:numCache>
            </c:numRef>
          </c:val>
          <c:extLst>
            <c:ext xmlns:c16="http://schemas.microsoft.com/office/drawing/2014/chart" uri="{C3380CC4-5D6E-409C-BE32-E72D297353CC}">
              <c16:uniqueId val="{00000000-0DAA-4EAB-8EE8-9B68AC66AB6B}"/>
            </c:ext>
          </c:extLst>
        </c:ser>
        <c:dLbls>
          <c:showLegendKey val="0"/>
          <c:showVal val="0"/>
          <c:showCatName val="0"/>
          <c:showSerName val="0"/>
          <c:showPercent val="0"/>
          <c:showBubbleSize val="0"/>
        </c:dLbls>
        <c:gapWidth val="150"/>
        <c:shape val="box"/>
        <c:axId val="462533088"/>
        <c:axId val="449696528"/>
        <c:axId val="0"/>
      </c:bar3DChart>
      <c:catAx>
        <c:axId val="46253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96528"/>
        <c:crosses val="autoZero"/>
        <c:auto val="1"/>
        <c:lblAlgn val="ctr"/>
        <c:lblOffset val="100"/>
        <c:noMultiLvlLbl val="0"/>
      </c:catAx>
      <c:valAx>
        <c:axId val="449696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5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Analysis!$P$79</c:f>
              <c:strCache>
                <c:ptCount val="1"/>
                <c:pt idx="0">
                  <c:v>Total</c:v>
                </c:pt>
              </c:strCache>
            </c:strRef>
          </c:tx>
          <c:spPr>
            <a:solidFill>
              <a:schemeClr val="accent1"/>
            </a:solidFill>
            <a:ln>
              <a:noFill/>
            </a:ln>
            <a:effectLst/>
            <a:sp3d/>
          </c:spPr>
          <c:invertIfNegative val="0"/>
          <c:cat>
            <c:multiLvlStrRef>
              <c:f>Analysis!$O$80:$O$84</c:f>
              <c:multiLvlStrCache>
                <c:ptCount val="2"/>
                <c:lvl>
                  <c:pt idx="0">
                    <c:v>274</c:v>
                  </c:pt>
                  <c:pt idx="1">
                    <c:v>226</c:v>
                  </c:pt>
                </c:lvl>
                <c:lvl>
                  <c:pt idx="0">
                    <c:v>New</c:v>
                  </c:pt>
                  <c:pt idx="1">
                    <c:v>Returning</c:v>
                  </c:pt>
                </c:lvl>
              </c:multiLvlStrCache>
            </c:multiLvlStrRef>
          </c:cat>
          <c:val>
            <c:numRef>
              <c:f>Analysis!$P$80:$P$84</c:f>
              <c:numCache>
                <c:formatCode>General</c:formatCode>
                <c:ptCount val="2"/>
                <c:pt idx="0">
                  <c:v>274</c:v>
                </c:pt>
                <c:pt idx="1">
                  <c:v>226</c:v>
                </c:pt>
              </c:numCache>
            </c:numRef>
          </c:val>
          <c:extLst>
            <c:ext xmlns:c16="http://schemas.microsoft.com/office/drawing/2014/chart" uri="{C3380CC4-5D6E-409C-BE32-E72D297353CC}">
              <c16:uniqueId val="{00000000-420C-4CD5-91B4-77E838DDC7FC}"/>
            </c:ext>
          </c:extLst>
        </c:ser>
        <c:dLbls>
          <c:showLegendKey val="0"/>
          <c:showVal val="0"/>
          <c:showCatName val="0"/>
          <c:showSerName val="0"/>
          <c:showPercent val="0"/>
          <c:showBubbleSize val="0"/>
        </c:dLbls>
        <c:gapWidth val="150"/>
        <c:shape val="box"/>
        <c:axId val="462481584"/>
        <c:axId val="449689328"/>
        <c:axId val="0"/>
      </c:bar3DChart>
      <c:catAx>
        <c:axId val="46248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689328"/>
        <c:crosses val="autoZero"/>
        <c:auto val="1"/>
        <c:lblAlgn val="ctr"/>
        <c:lblOffset val="100"/>
        <c:noMultiLvlLbl val="0"/>
      </c:catAx>
      <c:valAx>
        <c:axId val="449689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8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Analysis!$I$89</c:f>
              <c:strCache>
                <c:ptCount val="1"/>
                <c:pt idx="0">
                  <c:v>Total</c:v>
                </c:pt>
              </c:strCache>
            </c:strRef>
          </c:tx>
          <c:spPr>
            <a:solidFill>
              <a:schemeClr val="accent1"/>
            </a:solidFill>
            <a:ln>
              <a:noFill/>
            </a:ln>
            <a:effectLst/>
          </c:spPr>
          <c:invertIfNegative val="0"/>
          <c:cat>
            <c:strRef>
              <c:f>Analysis!$H$90:$H$103</c:f>
              <c:strCache>
                <c:ptCount val="13"/>
                <c:pt idx="0">
                  <c:v>Anjali</c:v>
                </c:pt>
                <c:pt idx="1">
                  <c:v>Arjun</c:v>
                </c:pt>
                <c:pt idx="2">
                  <c:v>Karan</c:v>
                </c:pt>
                <c:pt idx="3">
                  <c:v>Mohit</c:v>
                </c:pt>
                <c:pt idx="4">
                  <c:v>Neha</c:v>
                </c:pt>
                <c:pt idx="5">
                  <c:v>Pooja</c:v>
                </c:pt>
                <c:pt idx="6">
                  <c:v>Priya</c:v>
                </c:pt>
                <c:pt idx="7">
                  <c:v>Rahul</c:v>
                </c:pt>
                <c:pt idx="8">
                  <c:v>Riya</c:v>
                </c:pt>
                <c:pt idx="9">
                  <c:v>Rohit</c:v>
                </c:pt>
                <c:pt idx="10">
                  <c:v>Shreya</c:v>
                </c:pt>
                <c:pt idx="11">
                  <c:v>Simran</c:v>
                </c:pt>
                <c:pt idx="12">
                  <c:v>Varun</c:v>
                </c:pt>
              </c:strCache>
            </c:strRef>
          </c:cat>
          <c:val>
            <c:numRef>
              <c:f>Analysis!$I$90:$I$103</c:f>
              <c:numCache>
                <c:formatCode>0</c:formatCode>
                <c:ptCount val="13"/>
                <c:pt idx="0">
                  <c:v>79245.936134453717</c:v>
                </c:pt>
                <c:pt idx="1">
                  <c:v>560040.55702280893</c:v>
                </c:pt>
                <c:pt idx="2">
                  <c:v>1830504.4705882338</c:v>
                </c:pt>
                <c:pt idx="3">
                  <c:v>206077.98319327712</c:v>
                </c:pt>
                <c:pt idx="4">
                  <c:v>519221.5126050415</c:v>
                </c:pt>
                <c:pt idx="5">
                  <c:v>391515.29411764676</c:v>
                </c:pt>
                <c:pt idx="6">
                  <c:v>78903.401680672207</c:v>
                </c:pt>
                <c:pt idx="7">
                  <c:v>4198314.1176470546</c:v>
                </c:pt>
                <c:pt idx="8">
                  <c:v>59047.704201680615</c:v>
                </c:pt>
                <c:pt idx="9">
                  <c:v>3810347.5159663828</c:v>
                </c:pt>
                <c:pt idx="10">
                  <c:v>414467.36806722661</c:v>
                </c:pt>
                <c:pt idx="11">
                  <c:v>530708.97478991549</c:v>
                </c:pt>
                <c:pt idx="12">
                  <c:v>224868.57142857125</c:v>
                </c:pt>
              </c:numCache>
            </c:numRef>
          </c:val>
          <c:extLst>
            <c:ext xmlns:c16="http://schemas.microsoft.com/office/drawing/2014/chart" uri="{C3380CC4-5D6E-409C-BE32-E72D297353CC}">
              <c16:uniqueId val="{00000000-4DD6-469D-89BF-9F616696207E}"/>
            </c:ext>
          </c:extLst>
        </c:ser>
        <c:dLbls>
          <c:showLegendKey val="0"/>
          <c:showVal val="0"/>
          <c:showCatName val="0"/>
          <c:showSerName val="0"/>
          <c:showPercent val="0"/>
          <c:showBubbleSize val="0"/>
        </c:dLbls>
        <c:gapWidth val="219"/>
        <c:overlap val="-27"/>
        <c:axId val="1002052192"/>
        <c:axId val="570746192"/>
      </c:barChart>
      <c:catAx>
        <c:axId val="10020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6192"/>
        <c:crosses val="autoZero"/>
        <c:auto val="1"/>
        <c:lblAlgn val="ctr"/>
        <c:lblOffset val="100"/>
        <c:noMultiLvlLbl val="0"/>
      </c:catAx>
      <c:valAx>
        <c:axId val="570746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0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[E-commerce.xlsx]Sheet1!PivotTable1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13163739148"/>
          <c:y val="0.10797667023754867"/>
          <c:w val="0.84018170805572379"/>
          <c:h val="0.78413545923620909"/>
        </c:manualLayout>
      </c:layout>
      <c:barChart>
        <c:barDir val="col"/>
        <c:grouping val="clustered"/>
        <c:varyColors val="0"/>
        <c:ser>
          <c:idx val="0"/>
          <c:order val="0"/>
          <c:tx>
            <c:strRef>
              <c:f>Sheet1!$B$3</c:f>
              <c:strCache>
                <c:ptCount val="1"/>
                <c:pt idx="0">
                  <c:v>Total</c:v>
                </c:pt>
              </c:strCache>
            </c:strRef>
          </c:tx>
          <c:spPr>
            <a:pattFill prst="ltUpDiag">
              <a:fgClr>
                <a:schemeClr val="accent1"/>
              </a:fgClr>
              <a:bgClr>
                <a:schemeClr val="lt1"/>
              </a:bgClr>
            </a:pattFill>
            <a:ln>
              <a:noFill/>
            </a:ln>
            <a:effectLst/>
          </c:spPr>
          <c:invertIfNegative val="0"/>
          <c:cat>
            <c:strRef>
              <c:f>Sheet1!$A$4:$A$9</c:f>
              <c:strCache>
                <c:ptCount val="5"/>
                <c:pt idx="0">
                  <c:v>Beauty</c:v>
                </c:pt>
                <c:pt idx="1">
                  <c:v>Clothing</c:v>
                </c:pt>
                <c:pt idx="2">
                  <c:v>Electronics</c:v>
                </c:pt>
                <c:pt idx="3">
                  <c:v>Furniture</c:v>
                </c:pt>
                <c:pt idx="4">
                  <c:v>Sports</c:v>
                </c:pt>
              </c:strCache>
            </c:strRef>
          </c:cat>
          <c:val>
            <c:numRef>
              <c:f>Sheet1!$B$4:$B$9</c:f>
              <c:numCache>
                <c:formatCode>0</c:formatCode>
                <c:ptCount val="5"/>
                <c:pt idx="0">
                  <c:v>55018.393669994999</c:v>
                </c:pt>
                <c:pt idx="1">
                  <c:v>586825.11339893215</c:v>
                </c:pt>
                <c:pt idx="2">
                  <c:v>12493511.709929336</c:v>
                </c:pt>
                <c:pt idx="3">
                  <c:v>2332948.3667401997</c:v>
                </c:pt>
                <c:pt idx="4">
                  <c:v>642112.93084499624</c:v>
                </c:pt>
              </c:numCache>
            </c:numRef>
          </c:val>
          <c:extLst>
            <c:ext xmlns:c16="http://schemas.microsoft.com/office/drawing/2014/chart" uri="{C3380CC4-5D6E-409C-BE32-E72D297353CC}">
              <c16:uniqueId val="{00000000-746F-47DA-BBF9-604FC73C6349}"/>
            </c:ext>
          </c:extLst>
        </c:ser>
        <c:dLbls>
          <c:showLegendKey val="0"/>
          <c:showVal val="0"/>
          <c:showCatName val="0"/>
          <c:showSerName val="0"/>
          <c:showPercent val="0"/>
          <c:showBubbleSize val="0"/>
        </c:dLbls>
        <c:gapWidth val="269"/>
        <c:overlap val="-20"/>
        <c:axId val="474631456"/>
        <c:axId val="449701328"/>
      </c:barChart>
      <c:catAx>
        <c:axId val="47463145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49701328"/>
        <c:crosses val="autoZero"/>
        <c:auto val="1"/>
        <c:lblAlgn val="ctr"/>
        <c:lblOffset val="100"/>
        <c:noMultiLvlLbl val="0"/>
      </c:catAx>
      <c:valAx>
        <c:axId val="4497013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4631456"/>
        <c:crosses val="autoZero"/>
        <c:crossBetween val="between"/>
      </c:valA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Analysis!$X$36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Analysis!$W$37:$W$43</c:f>
              <c:strCache>
                <c:ptCount val="6"/>
                <c:pt idx="0">
                  <c:v>Delhi</c:v>
                </c:pt>
                <c:pt idx="1">
                  <c:v>Ghaziabad</c:v>
                </c:pt>
                <c:pt idx="2">
                  <c:v>Gurugram</c:v>
                </c:pt>
                <c:pt idx="3">
                  <c:v>Jaipur</c:v>
                </c:pt>
                <c:pt idx="4">
                  <c:v>Meerut</c:v>
                </c:pt>
                <c:pt idx="5">
                  <c:v>Noida</c:v>
                </c:pt>
              </c:strCache>
            </c:strRef>
          </c:cat>
          <c:val>
            <c:numRef>
              <c:f>Analysis!$X$37:$X$43</c:f>
              <c:numCache>
                <c:formatCode>0</c:formatCode>
                <c:ptCount val="6"/>
                <c:pt idx="0">
                  <c:v>5792471.4352941122</c:v>
                </c:pt>
                <c:pt idx="1">
                  <c:v>2503160.1008403325</c:v>
                </c:pt>
                <c:pt idx="2">
                  <c:v>232265.41176470561</c:v>
                </c:pt>
                <c:pt idx="3">
                  <c:v>8760.2218487394875</c:v>
                </c:pt>
                <c:pt idx="4">
                  <c:v>1880016.2285714266</c:v>
                </c:pt>
                <c:pt idx="5">
                  <c:v>3426598.1234093583</c:v>
                </c:pt>
              </c:numCache>
            </c:numRef>
          </c:val>
          <c:extLst>
            <c:ext xmlns:c16="http://schemas.microsoft.com/office/drawing/2014/chart" uri="{C3380CC4-5D6E-409C-BE32-E72D297353CC}">
              <c16:uniqueId val="{00000000-8218-40B9-AFBD-8903F028C38B}"/>
            </c:ext>
          </c:extLst>
        </c:ser>
        <c:dLbls>
          <c:showLegendKey val="0"/>
          <c:showVal val="0"/>
          <c:showCatName val="0"/>
          <c:showSerName val="0"/>
          <c:showPercent val="0"/>
          <c:showBubbleSize val="0"/>
        </c:dLbls>
        <c:gapWidth val="150"/>
        <c:shape val="box"/>
        <c:axId val="474714512"/>
        <c:axId val="2067226607"/>
        <c:axId val="0"/>
      </c:bar3DChart>
      <c:catAx>
        <c:axId val="47471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7226607"/>
        <c:crosses val="autoZero"/>
        <c:auto val="1"/>
        <c:lblAlgn val="ctr"/>
        <c:lblOffset val="100"/>
        <c:noMultiLvlLbl val="0"/>
      </c:catAx>
      <c:valAx>
        <c:axId val="2067226607"/>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71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Analysis!$Y$62</c:f>
              <c:strCache>
                <c:ptCount val="1"/>
                <c:pt idx="0">
                  <c:v>Total</c:v>
                </c:pt>
              </c:strCache>
            </c:strRef>
          </c:tx>
          <c:spPr>
            <a:solidFill>
              <a:schemeClr val="accent1">
                <a:lumMod val="20000"/>
                <a:lumOff val="80000"/>
              </a:schemeClr>
            </a:solidFill>
            <a:ln>
              <a:noFill/>
            </a:ln>
            <a:effectLst/>
            <a:sp3d/>
          </c:spPr>
          <c:invertIfNegative val="0"/>
          <c:cat>
            <c:strRef>
              <c:f>Analysis!$X$63:$X$68</c:f>
              <c:strCache>
                <c:ptCount val="5"/>
                <c:pt idx="0">
                  <c:v>Laptop</c:v>
                </c:pt>
                <c:pt idx="1">
                  <c:v>Mixer Grinder</c:v>
                </c:pt>
                <c:pt idx="2">
                  <c:v>Office Chair</c:v>
                </c:pt>
                <c:pt idx="3">
                  <c:v>Smartphone</c:v>
                </c:pt>
                <c:pt idx="4">
                  <c:v>Study Table</c:v>
                </c:pt>
              </c:strCache>
            </c:strRef>
          </c:cat>
          <c:val>
            <c:numRef>
              <c:f>Analysis!$Y$63:$Y$68</c:f>
              <c:numCache>
                <c:formatCode>0</c:formatCode>
                <c:ptCount val="5"/>
                <c:pt idx="0">
                  <c:v>7687278.6554621812</c:v>
                </c:pt>
                <c:pt idx="1">
                  <c:v>447187.76470588194</c:v>
                </c:pt>
                <c:pt idx="2">
                  <c:v>731075.29411764641</c:v>
                </c:pt>
                <c:pt idx="3">
                  <c:v>2165938.8235294106</c:v>
                </c:pt>
                <c:pt idx="4">
                  <c:v>831161.34453781438</c:v>
                </c:pt>
              </c:numCache>
            </c:numRef>
          </c:val>
          <c:extLst>
            <c:ext xmlns:c16="http://schemas.microsoft.com/office/drawing/2014/chart" uri="{C3380CC4-5D6E-409C-BE32-E72D297353CC}">
              <c16:uniqueId val="{00000000-6CF6-461C-838E-58C5EEDBED69}"/>
            </c:ext>
          </c:extLst>
        </c:ser>
        <c:dLbls>
          <c:showLegendKey val="0"/>
          <c:showVal val="0"/>
          <c:showCatName val="0"/>
          <c:showSerName val="0"/>
          <c:showPercent val="0"/>
          <c:showBubbleSize val="0"/>
        </c:dLbls>
        <c:gapWidth val="154"/>
        <c:gapDepth val="0"/>
        <c:shape val="box"/>
        <c:axId val="462533088"/>
        <c:axId val="449696528"/>
        <c:axId val="0"/>
      </c:bar3DChart>
      <c:catAx>
        <c:axId val="462533088"/>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449696528"/>
        <c:crosses val="autoZero"/>
        <c:auto val="1"/>
        <c:lblAlgn val="ctr"/>
        <c:lblOffset val="100"/>
        <c:noMultiLvlLbl val="0"/>
      </c:catAx>
      <c:valAx>
        <c:axId val="449696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253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Analysis!$P$79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Analysis!$O$80:$O$84</c:f>
              <c:multiLvlStrCache>
                <c:ptCount val="2"/>
                <c:lvl>
                  <c:pt idx="0">
                    <c:v>274</c:v>
                  </c:pt>
                  <c:pt idx="1">
                    <c:v>226</c:v>
                  </c:pt>
                </c:lvl>
                <c:lvl>
                  <c:pt idx="0">
                    <c:v>New</c:v>
                  </c:pt>
                  <c:pt idx="1">
                    <c:v>Returning</c:v>
                  </c:pt>
                </c:lvl>
              </c:multiLvlStrCache>
            </c:multiLvlStrRef>
          </c:cat>
          <c:val>
            <c:numRef>
              <c:f>Analysis!$P$80:$P$84</c:f>
              <c:numCache>
                <c:formatCode>General</c:formatCode>
                <c:ptCount val="2"/>
                <c:pt idx="0">
                  <c:v>274</c:v>
                </c:pt>
                <c:pt idx="1">
                  <c:v>226</c:v>
                </c:pt>
              </c:numCache>
            </c:numRef>
          </c:val>
          <c:extLst>
            <c:ext xmlns:c16="http://schemas.microsoft.com/office/drawing/2014/chart" uri="{C3380CC4-5D6E-409C-BE32-E72D297353CC}">
              <c16:uniqueId val="{00000000-515E-4E5C-84AC-056903C6BA0E}"/>
            </c:ext>
          </c:extLst>
        </c:ser>
        <c:dLbls>
          <c:showLegendKey val="0"/>
          <c:showVal val="0"/>
          <c:showCatName val="0"/>
          <c:showSerName val="0"/>
          <c:showPercent val="0"/>
          <c:showBubbleSize val="0"/>
        </c:dLbls>
        <c:gapWidth val="150"/>
        <c:shape val="box"/>
        <c:axId val="462481584"/>
        <c:axId val="449689328"/>
        <c:axId val="0"/>
      </c:bar3DChart>
      <c:catAx>
        <c:axId val="46248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9689328"/>
        <c:crosses val="autoZero"/>
        <c:auto val="1"/>
        <c:lblAlgn val="ctr"/>
        <c:lblOffset val="100"/>
        <c:noMultiLvlLbl val="0"/>
      </c:catAx>
      <c:valAx>
        <c:axId val="44968932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248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[E-commerce.xlsx]Analysis!PivotTable7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Analysis!$I$89</c:f>
              <c:strCache>
                <c:ptCount val="1"/>
                <c:pt idx="0">
                  <c:v>Total</c:v>
                </c:pt>
              </c:strCache>
            </c:strRef>
          </c:tx>
          <c:spPr>
            <a:pattFill prst="ltUpDiag">
              <a:fgClr>
                <a:schemeClr val="accent1"/>
              </a:fgClr>
              <a:bgClr>
                <a:schemeClr val="lt1"/>
              </a:bgClr>
            </a:pattFill>
            <a:ln>
              <a:noFill/>
            </a:ln>
            <a:effectLst/>
          </c:spPr>
          <c:invertIfNegative val="0"/>
          <c:cat>
            <c:strRef>
              <c:f>Analysis!$H$90:$H$103</c:f>
              <c:strCache>
                <c:ptCount val="13"/>
                <c:pt idx="0">
                  <c:v>Anjali</c:v>
                </c:pt>
                <c:pt idx="1">
                  <c:v>Arjun</c:v>
                </c:pt>
                <c:pt idx="2">
                  <c:v>Karan</c:v>
                </c:pt>
                <c:pt idx="3">
                  <c:v>Mohit</c:v>
                </c:pt>
                <c:pt idx="4">
                  <c:v>Neha</c:v>
                </c:pt>
                <c:pt idx="5">
                  <c:v>Pooja</c:v>
                </c:pt>
                <c:pt idx="6">
                  <c:v>Priya</c:v>
                </c:pt>
                <c:pt idx="7">
                  <c:v>Rahul</c:v>
                </c:pt>
                <c:pt idx="8">
                  <c:v>Riya</c:v>
                </c:pt>
                <c:pt idx="9">
                  <c:v>Rohit</c:v>
                </c:pt>
                <c:pt idx="10">
                  <c:v>Shreya</c:v>
                </c:pt>
                <c:pt idx="11">
                  <c:v>Simran</c:v>
                </c:pt>
                <c:pt idx="12">
                  <c:v>Varun</c:v>
                </c:pt>
              </c:strCache>
            </c:strRef>
          </c:cat>
          <c:val>
            <c:numRef>
              <c:f>Analysis!$I$90:$I$103</c:f>
              <c:numCache>
                <c:formatCode>0</c:formatCode>
                <c:ptCount val="13"/>
                <c:pt idx="0">
                  <c:v>79245.936134453717</c:v>
                </c:pt>
                <c:pt idx="1">
                  <c:v>560040.55702280893</c:v>
                </c:pt>
                <c:pt idx="2">
                  <c:v>1830504.4705882338</c:v>
                </c:pt>
                <c:pt idx="3">
                  <c:v>206077.98319327712</c:v>
                </c:pt>
                <c:pt idx="4">
                  <c:v>519221.5126050415</c:v>
                </c:pt>
                <c:pt idx="5">
                  <c:v>391515.29411764676</c:v>
                </c:pt>
                <c:pt idx="6">
                  <c:v>78903.401680672207</c:v>
                </c:pt>
                <c:pt idx="7">
                  <c:v>4198314.1176470546</c:v>
                </c:pt>
                <c:pt idx="8">
                  <c:v>59047.704201680615</c:v>
                </c:pt>
                <c:pt idx="9">
                  <c:v>3810347.5159663828</c:v>
                </c:pt>
                <c:pt idx="10">
                  <c:v>414467.36806722661</c:v>
                </c:pt>
                <c:pt idx="11">
                  <c:v>530708.97478991549</c:v>
                </c:pt>
                <c:pt idx="12">
                  <c:v>224868.57142857125</c:v>
                </c:pt>
              </c:numCache>
            </c:numRef>
          </c:val>
          <c:extLst>
            <c:ext xmlns:c16="http://schemas.microsoft.com/office/drawing/2014/chart" uri="{C3380CC4-5D6E-409C-BE32-E72D297353CC}">
              <c16:uniqueId val="{00000000-7279-456B-804C-F98FD9FABB02}"/>
            </c:ext>
          </c:extLst>
        </c:ser>
        <c:dLbls>
          <c:showLegendKey val="0"/>
          <c:showVal val="0"/>
          <c:showCatName val="0"/>
          <c:showSerName val="0"/>
          <c:showPercent val="0"/>
          <c:showBubbleSize val="0"/>
        </c:dLbls>
        <c:gapWidth val="269"/>
        <c:overlap val="-20"/>
        <c:axId val="1002052192"/>
        <c:axId val="570746192"/>
      </c:barChart>
      <c:catAx>
        <c:axId val="100205219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70746192"/>
        <c:crosses val="autoZero"/>
        <c:auto val="1"/>
        <c:lblAlgn val="ctr"/>
        <c:lblOffset val="100"/>
        <c:noMultiLvlLbl val="0"/>
      </c:catAx>
      <c:valAx>
        <c:axId val="5707461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20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533400</xdr:colOff>
      <xdr:row>9</xdr:row>
      <xdr:rowOff>133350</xdr:rowOff>
    </xdr:from>
    <xdr:to>
      <xdr:col>11</xdr:col>
      <xdr:colOff>228600</xdr:colOff>
      <xdr:row>24</xdr:row>
      <xdr:rowOff>133350</xdr:rowOff>
    </xdr:to>
    <xdr:graphicFrame macro="">
      <xdr:nvGraphicFramePr>
        <xdr:cNvPr id="2" name="Chart 1">
          <a:extLst>
            <a:ext uri="{FF2B5EF4-FFF2-40B4-BE49-F238E27FC236}">
              <a16:creationId xmlns:a16="http://schemas.microsoft.com/office/drawing/2014/main" id="{EBFA14D0-EEAC-E485-DC08-88A5EB662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458839</xdr:colOff>
      <xdr:row>33</xdr:row>
      <xdr:rowOff>4916</xdr:rowOff>
    </xdr:from>
    <xdr:to>
      <xdr:col>32</xdr:col>
      <xdr:colOff>180258</xdr:colOff>
      <xdr:row>48</xdr:row>
      <xdr:rowOff>44245</xdr:rowOff>
    </xdr:to>
    <xdr:graphicFrame macro="">
      <xdr:nvGraphicFramePr>
        <xdr:cNvPr id="2" name="Chart 1">
          <a:extLst>
            <a:ext uri="{FF2B5EF4-FFF2-40B4-BE49-F238E27FC236}">
              <a16:creationId xmlns:a16="http://schemas.microsoft.com/office/drawing/2014/main" id="{295A5079-05D2-76C0-A761-8C8C93E5D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122903</xdr:colOff>
      <xdr:row>60</xdr:row>
      <xdr:rowOff>263013</xdr:rowOff>
    </xdr:from>
    <xdr:to>
      <xdr:col>32</xdr:col>
      <xdr:colOff>450645</xdr:colOff>
      <xdr:row>75</xdr:row>
      <xdr:rowOff>113891</xdr:rowOff>
    </xdr:to>
    <xdr:graphicFrame macro="">
      <xdr:nvGraphicFramePr>
        <xdr:cNvPr id="3" name="Chart 2">
          <a:extLst>
            <a:ext uri="{FF2B5EF4-FFF2-40B4-BE49-F238E27FC236}">
              <a16:creationId xmlns:a16="http://schemas.microsoft.com/office/drawing/2014/main" id="{20950865-B1DC-2A1E-73A3-2F07A0A2A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360516</xdr:colOff>
      <xdr:row>72</xdr:row>
      <xdr:rowOff>41787</xdr:rowOff>
    </xdr:from>
    <xdr:to>
      <xdr:col>20</xdr:col>
      <xdr:colOff>262194</xdr:colOff>
      <xdr:row>87</xdr:row>
      <xdr:rowOff>81116</xdr:rowOff>
    </xdr:to>
    <xdr:graphicFrame macro="">
      <xdr:nvGraphicFramePr>
        <xdr:cNvPr id="4" name="Chart 3">
          <a:extLst>
            <a:ext uri="{FF2B5EF4-FFF2-40B4-BE49-F238E27FC236}">
              <a16:creationId xmlns:a16="http://schemas.microsoft.com/office/drawing/2014/main" id="{4DA199D2-92A6-5A0A-352C-287C6CDDD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81936</xdr:colOff>
      <xdr:row>92</xdr:row>
      <xdr:rowOff>41787</xdr:rowOff>
    </xdr:from>
    <xdr:to>
      <xdr:col>8</xdr:col>
      <xdr:colOff>606323</xdr:colOff>
      <xdr:row>107</xdr:row>
      <xdr:rowOff>81116</xdr:rowOff>
    </xdr:to>
    <xdr:graphicFrame macro="">
      <xdr:nvGraphicFramePr>
        <xdr:cNvPr id="5" name="Chart 4">
          <a:extLst>
            <a:ext uri="{FF2B5EF4-FFF2-40B4-BE49-F238E27FC236}">
              <a16:creationId xmlns:a16="http://schemas.microsoft.com/office/drawing/2014/main" id="{8386BD44-FC13-70D1-4B75-66F62D0B3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230038</xdr:colOff>
      <xdr:row>0</xdr:row>
      <xdr:rowOff>138338</xdr:rowOff>
    </xdr:from>
    <xdr:to>
      <xdr:col>6</xdr:col>
      <xdr:colOff>368164</xdr:colOff>
      <xdr:row>6</xdr:row>
      <xdr:rowOff>65041</xdr:rowOff>
    </xdr:to>
    <xdr:sp macro="" textlink="">
      <xdr:nvSpPr>
        <xdr:cNvPr id="3" name="Rectangle: Rounded Corners 2">
          <a:extLst>
            <a:ext uri="{FF2B5EF4-FFF2-40B4-BE49-F238E27FC236}">
              <a16:creationId xmlns:a16="http://schemas.microsoft.com/office/drawing/2014/main" id="{FFE51D45-2C5C-A64B-32E4-BE57D5D7D839}"/>
            </a:ext>
          </a:extLst>
        </xdr:cNvPr>
        <xdr:cNvSpPr/>
      </xdr:nvSpPr>
      <xdr:spPr>
        <a:xfrm>
          <a:off x="833887" y="138338"/>
          <a:ext cx="3545560" cy="1048137"/>
        </a:xfrm>
        <a:prstGeom prst="roundRect">
          <a:avLst>
            <a:gd name="adj" fmla="val 972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400" b="1"/>
            <a:t>Total Sales</a:t>
          </a:r>
        </a:p>
        <a:p>
          <a:pPr algn="ctr"/>
          <a:r>
            <a:rPr lang="en-IN" sz="1400" b="0" i="0" u="none" strike="noStrike">
              <a:solidFill>
                <a:schemeClr val="lt1"/>
              </a:solidFill>
              <a:effectLst/>
              <a:latin typeface="+mn-lt"/>
              <a:ea typeface="+mn-ea"/>
              <a:cs typeface="+mn-cs"/>
            </a:rPr>
            <a:t>₹ 1,67,91,801.97</a:t>
          </a:r>
          <a:r>
            <a:rPr lang="en-IN" sz="1400">
              <a:effectLst/>
            </a:rPr>
            <a:t> </a:t>
          </a:r>
          <a:endParaRPr lang="en-IN" sz="1400"/>
        </a:p>
        <a:p>
          <a:pPr algn="l"/>
          <a:endParaRPr lang="en-IN" sz="2000" b="1"/>
        </a:p>
      </xdr:txBody>
    </xdr:sp>
    <xdr:clientData/>
  </xdr:twoCellAnchor>
  <xdr:oneCellAnchor>
    <xdr:from>
      <xdr:col>4</xdr:col>
      <xdr:colOff>281940</xdr:colOff>
      <xdr:row>5</xdr:row>
      <xdr:rowOff>175260</xdr:rowOff>
    </xdr:from>
    <xdr:ext cx="184731" cy="264560"/>
    <xdr:sp macro="" textlink="">
      <xdr:nvSpPr>
        <xdr:cNvPr id="4" name="TextBox 3">
          <a:extLst>
            <a:ext uri="{FF2B5EF4-FFF2-40B4-BE49-F238E27FC236}">
              <a16:creationId xmlns:a16="http://schemas.microsoft.com/office/drawing/2014/main" id="{C1B60B70-A43E-954F-553A-6AA2BD10EA2C}"/>
            </a:ext>
          </a:extLst>
        </xdr:cNvPr>
        <xdr:cNvSpPr txBox="1"/>
      </xdr:nvSpPr>
      <xdr:spPr>
        <a:xfrm>
          <a:off x="2720340" y="1089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12</xdr:col>
      <xdr:colOff>53788</xdr:colOff>
      <xdr:row>12</xdr:row>
      <xdr:rowOff>121735</xdr:rowOff>
    </xdr:from>
    <xdr:ext cx="654410" cy="937629"/>
    <xdr:sp macro="" textlink="">
      <xdr:nvSpPr>
        <xdr:cNvPr id="6" name="Rectangle 5">
          <a:extLst>
            <a:ext uri="{FF2B5EF4-FFF2-40B4-BE49-F238E27FC236}">
              <a16:creationId xmlns:a16="http://schemas.microsoft.com/office/drawing/2014/main" id="{27E4FFC6-05FA-5180-D3D0-D40E5643026D}"/>
            </a:ext>
          </a:extLst>
        </xdr:cNvPr>
        <xdr:cNvSpPr/>
      </xdr:nvSpPr>
      <xdr:spPr>
        <a:xfrm>
          <a:off x="7368988" y="2316295"/>
          <a:ext cx="654410" cy="937629"/>
        </a:xfrm>
        <a:prstGeom prst="rect">
          <a:avLst/>
        </a:prstGeom>
        <a:noFill/>
      </xdr:spPr>
      <xdr:txBody>
        <a:bodyPr wrap="none" lIns="91440" tIns="45720" rIns="91440" bIns="45720">
          <a:spAutoFit/>
        </a:bodyPr>
        <a:lstStyle/>
        <a:p>
          <a:pPr algn="ctr"/>
          <a:r>
            <a:rPr lang="en-IN" sz="5400" b="1" cap="none" spc="0" baseline="0">
              <a:ln w="22225">
                <a:solidFill>
                  <a:schemeClr val="accent2"/>
                </a:solidFill>
                <a:prstDash val="solid"/>
              </a:ln>
              <a:solidFill>
                <a:schemeClr val="accent2">
                  <a:lumMod val="40000"/>
                  <a:lumOff val="60000"/>
                </a:schemeClr>
              </a:solidFill>
              <a:effectLst/>
            </a:rPr>
            <a:t>   </a:t>
          </a:r>
          <a:endParaRPr lang="en-IN"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4</xdr:col>
      <xdr:colOff>350520</xdr:colOff>
      <xdr:row>6</xdr:row>
      <xdr:rowOff>76200</xdr:rowOff>
    </xdr:from>
    <xdr:ext cx="184731" cy="264560"/>
    <xdr:sp macro="" textlink="">
      <xdr:nvSpPr>
        <xdr:cNvPr id="7" name="TextBox 6">
          <a:extLst>
            <a:ext uri="{FF2B5EF4-FFF2-40B4-BE49-F238E27FC236}">
              <a16:creationId xmlns:a16="http://schemas.microsoft.com/office/drawing/2014/main" id="{459DF857-6AAB-A8E0-4E87-A557B87AC0DA}"/>
            </a:ext>
          </a:extLst>
        </xdr:cNvPr>
        <xdr:cNvSpPr txBox="1"/>
      </xdr:nvSpPr>
      <xdr:spPr>
        <a:xfrm>
          <a:off x="2788920" y="1173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63500</xdr:colOff>
      <xdr:row>0</xdr:row>
      <xdr:rowOff>145143</xdr:rowOff>
    </xdr:from>
    <xdr:to>
      <xdr:col>11</xdr:col>
      <xdr:colOff>577305</xdr:colOff>
      <xdr:row>6</xdr:row>
      <xdr:rowOff>71846</xdr:rowOff>
    </xdr:to>
    <xdr:sp macro="" textlink="">
      <xdr:nvSpPr>
        <xdr:cNvPr id="10" name="Rectangle: Rounded Corners 9">
          <a:extLst>
            <a:ext uri="{FF2B5EF4-FFF2-40B4-BE49-F238E27FC236}">
              <a16:creationId xmlns:a16="http://schemas.microsoft.com/office/drawing/2014/main" id="{A9F7BE3C-B4EC-4C65-B7EC-52EB55A37AD3}"/>
            </a:ext>
          </a:extLst>
        </xdr:cNvPr>
        <xdr:cNvSpPr/>
      </xdr:nvSpPr>
      <xdr:spPr>
        <a:xfrm>
          <a:off x="4707581" y="145143"/>
          <a:ext cx="3046940" cy="1038811"/>
        </a:xfrm>
        <a:prstGeom prst="roundRect">
          <a:avLst>
            <a:gd name="adj" fmla="val 774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400" b="1"/>
            <a:t>Total Profit</a:t>
          </a:r>
        </a:p>
        <a:p>
          <a:pPr algn="ctr"/>
          <a:r>
            <a:rPr lang="en-IN" sz="1400"/>
            <a:t>₹ 38,88,538.57</a:t>
          </a:r>
        </a:p>
        <a:p>
          <a:pPr algn="l"/>
          <a:endParaRPr lang="en-IN" sz="2000" b="1"/>
        </a:p>
      </xdr:txBody>
    </xdr:sp>
    <xdr:clientData/>
  </xdr:twoCellAnchor>
  <xdr:twoCellAnchor>
    <xdr:from>
      <xdr:col>12</xdr:col>
      <xdr:colOff>268466</xdr:colOff>
      <xdr:row>0</xdr:row>
      <xdr:rowOff>163530</xdr:rowOff>
    </xdr:from>
    <xdr:to>
      <xdr:col>17</xdr:col>
      <xdr:colOff>274271</xdr:colOff>
      <xdr:row>6</xdr:row>
      <xdr:rowOff>86311</xdr:rowOff>
    </xdr:to>
    <xdr:sp macro="" textlink="">
      <xdr:nvSpPr>
        <xdr:cNvPr id="11" name="Rectangle: Rounded Corners 10">
          <a:extLst>
            <a:ext uri="{FF2B5EF4-FFF2-40B4-BE49-F238E27FC236}">
              <a16:creationId xmlns:a16="http://schemas.microsoft.com/office/drawing/2014/main" id="{0745F472-F30F-47F4-BAD4-EAC5C5732E37}"/>
            </a:ext>
          </a:extLst>
        </xdr:cNvPr>
        <xdr:cNvSpPr/>
      </xdr:nvSpPr>
      <xdr:spPr>
        <a:xfrm>
          <a:off x="8053223" y="163530"/>
          <a:ext cx="3043507" cy="1034889"/>
        </a:xfrm>
        <a:prstGeom prst="roundRect">
          <a:avLst>
            <a:gd name="adj" fmla="val 5031"/>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400" b="1"/>
            <a:t>Total Order</a:t>
          </a:r>
        </a:p>
        <a:p>
          <a:pPr algn="ctr"/>
          <a:r>
            <a:rPr lang="en-IN" sz="1400"/>
            <a:t>500</a:t>
          </a:r>
        </a:p>
        <a:p>
          <a:pPr algn="ctr"/>
          <a:endParaRPr lang="en-IN" sz="1400"/>
        </a:p>
        <a:p>
          <a:pPr algn="l"/>
          <a:endParaRPr lang="en-IN" sz="2000" b="1"/>
        </a:p>
      </xdr:txBody>
    </xdr:sp>
    <xdr:clientData/>
  </xdr:twoCellAnchor>
  <xdr:twoCellAnchor>
    <xdr:from>
      <xdr:col>17</xdr:col>
      <xdr:colOff>535460</xdr:colOff>
      <xdr:row>0</xdr:row>
      <xdr:rowOff>164755</xdr:rowOff>
    </xdr:from>
    <xdr:to>
      <xdr:col>22</xdr:col>
      <xdr:colOff>448668</xdr:colOff>
      <xdr:row>6</xdr:row>
      <xdr:rowOff>87536</xdr:rowOff>
    </xdr:to>
    <xdr:sp macro="" textlink="">
      <xdr:nvSpPr>
        <xdr:cNvPr id="12" name="Rectangle: Rounded Corners 11">
          <a:extLst>
            <a:ext uri="{FF2B5EF4-FFF2-40B4-BE49-F238E27FC236}">
              <a16:creationId xmlns:a16="http://schemas.microsoft.com/office/drawing/2014/main" id="{AA71C591-2531-446F-8235-23CF3025D5B7}"/>
            </a:ext>
          </a:extLst>
        </xdr:cNvPr>
        <xdr:cNvSpPr/>
      </xdr:nvSpPr>
      <xdr:spPr>
        <a:xfrm>
          <a:off x="11357919" y="164755"/>
          <a:ext cx="2950911" cy="1034889"/>
        </a:xfrm>
        <a:prstGeom prst="roundRect">
          <a:avLst>
            <a:gd name="adj" fmla="val 1000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r>
            <a:rPr lang="en-IN" sz="1100" b="1" i="0" u="none" strike="noStrike">
              <a:solidFill>
                <a:schemeClr val="lt1"/>
              </a:solidFill>
              <a:effectLst/>
              <a:latin typeface="+mn-lt"/>
              <a:ea typeface="+mn-ea"/>
              <a:cs typeface="+mn-cs"/>
            </a:rPr>
            <a:t>              </a:t>
          </a:r>
          <a:r>
            <a:rPr lang="en-IN" sz="2400" b="1" i="0" u="none" strike="noStrike">
              <a:solidFill>
                <a:schemeClr val="lt1"/>
              </a:solidFill>
              <a:effectLst/>
              <a:latin typeface="+mn-lt"/>
              <a:ea typeface="+mn-ea"/>
              <a:cs typeface="+mn-cs"/>
            </a:rPr>
            <a:t>Total Quantity</a:t>
          </a:r>
          <a:r>
            <a:rPr lang="en-IN" sz="2400">
              <a:effectLst/>
            </a:rPr>
            <a:t> </a:t>
          </a:r>
        </a:p>
        <a:p>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1700</a:t>
          </a:r>
          <a:r>
            <a:rPr lang="en-IN" sz="1400">
              <a:effectLst/>
            </a:rPr>
            <a:t> </a:t>
          </a:r>
        </a:p>
        <a:p>
          <a:pPr algn="ctr"/>
          <a:endParaRPr lang="en-IN" sz="1400"/>
        </a:p>
        <a:p>
          <a:pPr algn="l"/>
          <a:endParaRPr lang="en-IN" sz="2000" b="1"/>
        </a:p>
      </xdr:txBody>
    </xdr:sp>
    <xdr:clientData/>
  </xdr:twoCellAnchor>
  <xdr:twoCellAnchor>
    <xdr:from>
      <xdr:col>23</xdr:col>
      <xdr:colOff>76059</xdr:colOff>
      <xdr:row>0</xdr:row>
      <xdr:rowOff>164755</xdr:rowOff>
    </xdr:from>
    <xdr:to>
      <xdr:col>29</xdr:col>
      <xdr:colOff>215660</xdr:colOff>
      <xdr:row>6</xdr:row>
      <xdr:rowOff>87536</xdr:rowOff>
    </xdr:to>
    <xdr:sp macro="" textlink="">
      <xdr:nvSpPr>
        <xdr:cNvPr id="13" name="Rectangle: Rounded Corners 12">
          <a:extLst>
            <a:ext uri="{FF2B5EF4-FFF2-40B4-BE49-F238E27FC236}">
              <a16:creationId xmlns:a16="http://schemas.microsoft.com/office/drawing/2014/main" id="{0D3E2BA1-B7C0-41CD-B2D3-D31C4867475D}"/>
            </a:ext>
          </a:extLst>
        </xdr:cNvPr>
        <xdr:cNvSpPr/>
      </xdr:nvSpPr>
      <xdr:spPr>
        <a:xfrm>
          <a:off x="14453417" y="164755"/>
          <a:ext cx="3762696" cy="1044215"/>
        </a:xfrm>
        <a:prstGeom prst="roundRect">
          <a:avLst>
            <a:gd name="adj" fmla="val 4036"/>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r>
            <a:rPr lang="en-IN" sz="2400" b="1" i="0" u="none" strike="noStrike">
              <a:solidFill>
                <a:schemeClr val="lt1"/>
              </a:solidFill>
              <a:effectLst/>
              <a:latin typeface="+mn-lt"/>
              <a:ea typeface="+mn-ea"/>
              <a:cs typeface="+mn-cs"/>
            </a:rPr>
            <a:t>       Average Order Value</a:t>
          </a:r>
          <a:r>
            <a:rPr lang="en-IN" sz="2400">
              <a:effectLst/>
            </a:rPr>
            <a:t> </a:t>
          </a:r>
        </a:p>
        <a:p>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mn-lt"/>
              <a:ea typeface="+mn-ea"/>
              <a:cs typeface="+mn-cs"/>
            </a:rPr>
            <a:t> 33583.60395</a:t>
          </a:r>
          <a:r>
            <a:rPr lang="en-IN" sz="1400">
              <a:effectLst/>
            </a:rPr>
            <a:t> </a:t>
          </a:r>
        </a:p>
        <a:p>
          <a:endParaRPr lang="en-IN" sz="1400"/>
        </a:p>
        <a:p>
          <a:pPr algn="l"/>
          <a:endParaRPr lang="en-IN" sz="2000" b="1"/>
        </a:p>
      </xdr:txBody>
    </xdr:sp>
    <xdr:clientData/>
  </xdr:twoCellAnchor>
  <xdr:twoCellAnchor>
    <xdr:from>
      <xdr:col>1</xdr:col>
      <xdr:colOff>401593</xdr:colOff>
      <xdr:row>9</xdr:row>
      <xdr:rowOff>20593</xdr:rowOff>
    </xdr:from>
    <xdr:to>
      <xdr:col>14</xdr:col>
      <xdr:colOff>288323</xdr:colOff>
      <xdr:row>38</xdr:row>
      <xdr:rowOff>175053</xdr:rowOff>
    </xdr:to>
    <xdr:sp macro="" textlink="">
      <xdr:nvSpPr>
        <xdr:cNvPr id="14" name="Rectangle: Rounded Corners 13">
          <a:extLst>
            <a:ext uri="{FF2B5EF4-FFF2-40B4-BE49-F238E27FC236}">
              <a16:creationId xmlns:a16="http://schemas.microsoft.com/office/drawing/2014/main" id="{39F197AA-FADA-4AA0-71DD-784C10317C7B}"/>
            </a:ext>
          </a:extLst>
        </xdr:cNvPr>
        <xdr:cNvSpPr/>
      </xdr:nvSpPr>
      <xdr:spPr>
        <a:xfrm>
          <a:off x="1009134" y="1688755"/>
          <a:ext cx="8279027" cy="5529649"/>
        </a:xfrm>
        <a:prstGeom prst="roundRect">
          <a:avLst>
            <a:gd name="adj" fmla="val 3818"/>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51487</xdr:colOff>
      <xdr:row>14</xdr:row>
      <xdr:rowOff>144162</xdr:rowOff>
    </xdr:from>
    <xdr:to>
      <xdr:col>9</xdr:col>
      <xdr:colOff>503464</xdr:colOff>
      <xdr:row>35</xdr:row>
      <xdr:rowOff>122464</xdr:rowOff>
    </xdr:to>
    <xdr:graphicFrame macro="">
      <xdr:nvGraphicFramePr>
        <xdr:cNvPr id="15" name="Chart 14">
          <a:extLst>
            <a:ext uri="{FF2B5EF4-FFF2-40B4-BE49-F238E27FC236}">
              <a16:creationId xmlns:a16="http://schemas.microsoft.com/office/drawing/2014/main" id="{09D78F43-FB34-4D71-B473-9993BF9D6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163579</xdr:colOff>
      <xdr:row>16</xdr:row>
      <xdr:rowOff>23552</xdr:rowOff>
    </xdr:from>
    <xdr:to>
      <xdr:col>14</xdr:col>
      <xdr:colOff>13240</xdr:colOff>
      <xdr:row>25</xdr:row>
      <xdr:rowOff>75025</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95521BCF-F8AF-B077-F615-3E86B7915D1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82852" y="2979188"/>
              <a:ext cx="2366570" cy="1714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173112</xdr:colOff>
      <xdr:row>9</xdr:row>
      <xdr:rowOff>144162</xdr:rowOff>
    </xdr:from>
    <xdr:ext cx="6025861" cy="724189"/>
    <xdr:sp macro="" textlink="">
      <xdr:nvSpPr>
        <xdr:cNvPr id="20" name="Rectangle 19">
          <a:extLst>
            <a:ext uri="{FF2B5EF4-FFF2-40B4-BE49-F238E27FC236}">
              <a16:creationId xmlns:a16="http://schemas.microsoft.com/office/drawing/2014/main" id="{B3FFDD13-D0CA-E2B4-C312-F63F7FF502F4}"/>
            </a:ext>
          </a:extLst>
        </xdr:cNvPr>
        <xdr:cNvSpPr/>
      </xdr:nvSpPr>
      <xdr:spPr>
        <a:xfrm>
          <a:off x="1995734" y="1812324"/>
          <a:ext cx="6025861" cy="724189"/>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lIns="91440" tIns="45720" rIns="91440" bIns="45720">
          <a:noAutofit/>
        </a:bodyPr>
        <a:lstStyle/>
        <a:p>
          <a:pPr algn="ctr"/>
          <a:r>
            <a:rPr lang="en-IN" sz="4400" b="1" cap="none" spc="50">
              <a:ln w="0"/>
              <a:solidFill>
                <a:schemeClr val="bg2"/>
              </a:solidFill>
              <a:effectLst>
                <a:innerShdw blurRad="63500" dist="50800" dir="13500000">
                  <a:srgbClr val="000000">
                    <a:alpha val="50000"/>
                  </a:srgbClr>
                </a:innerShdw>
              </a:effectLst>
            </a:rPr>
            <a:t>Category-wise Sales</a:t>
          </a:r>
          <a:endParaRPr lang="en-US" sz="4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14</xdr:col>
      <xdr:colOff>494269</xdr:colOff>
      <xdr:row>8</xdr:row>
      <xdr:rowOff>175053</xdr:rowOff>
    </xdr:from>
    <xdr:to>
      <xdr:col>29</xdr:col>
      <xdr:colOff>30892</xdr:colOff>
      <xdr:row>39</xdr:row>
      <xdr:rowOff>41189</xdr:rowOff>
    </xdr:to>
    <xdr:sp macro="" textlink="">
      <xdr:nvSpPr>
        <xdr:cNvPr id="21" name="Rectangle: Rounded Corners 20">
          <a:extLst>
            <a:ext uri="{FF2B5EF4-FFF2-40B4-BE49-F238E27FC236}">
              <a16:creationId xmlns:a16="http://schemas.microsoft.com/office/drawing/2014/main" id="{41ACD716-A5A2-055A-53D4-57C172F643AD}"/>
            </a:ext>
          </a:extLst>
        </xdr:cNvPr>
        <xdr:cNvSpPr/>
      </xdr:nvSpPr>
      <xdr:spPr>
        <a:xfrm>
          <a:off x="9436986" y="1670298"/>
          <a:ext cx="8594359" cy="5660212"/>
        </a:xfrm>
        <a:prstGeom prst="roundRect">
          <a:avLst>
            <a:gd name="adj" fmla="val 282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192842</xdr:colOff>
      <xdr:row>9</xdr:row>
      <xdr:rowOff>76942</xdr:rowOff>
    </xdr:from>
    <xdr:ext cx="3671454" cy="781111"/>
    <xdr:sp macro="" textlink="">
      <xdr:nvSpPr>
        <xdr:cNvPr id="22" name="Rectangle 21">
          <a:extLst>
            <a:ext uri="{FF2B5EF4-FFF2-40B4-BE49-F238E27FC236}">
              <a16:creationId xmlns:a16="http://schemas.microsoft.com/office/drawing/2014/main" id="{B9214A9F-841D-D4F6-CE19-7485DBC6B055}"/>
            </a:ext>
          </a:extLst>
        </xdr:cNvPr>
        <xdr:cNvSpPr/>
      </xdr:nvSpPr>
      <xdr:spPr>
        <a:xfrm>
          <a:off x="11622842" y="1745104"/>
          <a:ext cx="3671454" cy="781111"/>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none" lIns="91440" tIns="45720" rIns="91440" bIns="45720">
          <a:spAutoFit/>
        </a:bodyPr>
        <a:lstStyle/>
        <a:p>
          <a:pPr algn="ctr"/>
          <a:r>
            <a:rPr lang="en-IN" sz="4400" b="1" cap="none" spc="50">
              <a:ln w="0"/>
              <a:solidFill>
                <a:schemeClr val="bg2"/>
              </a:solidFill>
              <a:effectLst>
                <a:innerShdw blurRad="63500" dist="50800" dir="13500000">
                  <a:srgbClr val="000000">
                    <a:alpha val="50000"/>
                  </a:srgbClr>
                </a:innerShdw>
              </a:effectLst>
            </a:rPr>
            <a:t>City-wise</a:t>
          </a:r>
          <a:r>
            <a:rPr lang="en-IN" sz="4400"/>
            <a:t> Sales</a:t>
          </a:r>
          <a:endParaRPr lang="en-US" sz="4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15</xdr:col>
      <xdr:colOff>164755</xdr:colOff>
      <xdr:row>15</xdr:row>
      <xdr:rowOff>10295</xdr:rowOff>
    </xdr:from>
    <xdr:to>
      <xdr:col>23</xdr:col>
      <xdr:colOff>586945</xdr:colOff>
      <xdr:row>34</xdr:row>
      <xdr:rowOff>41188</xdr:rowOff>
    </xdr:to>
    <xdr:graphicFrame macro="">
      <xdr:nvGraphicFramePr>
        <xdr:cNvPr id="23" name="Chart 22">
          <a:extLst>
            <a:ext uri="{FF2B5EF4-FFF2-40B4-BE49-F238E27FC236}">
              <a16:creationId xmlns:a16="http://schemas.microsoft.com/office/drawing/2014/main" id="{6FFAA8DB-CC8A-4767-8E04-8E1E8A4A3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175054</xdr:colOff>
      <xdr:row>15</xdr:row>
      <xdr:rowOff>15240</xdr:rowOff>
    </xdr:from>
    <xdr:to>
      <xdr:col>28</xdr:col>
      <xdr:colOff>267730</xdr:colOff>
      <xdr:row>25</xdr:row>
      <xdr:rowOff>113270</xdr:rowOff>
    </xdr:to>
    <mc:AlternateContent xmlns:mc="http://schemas.openxmlformats.org/markup-compatibility/2006">
      <mc:Choice xmlns:a14="http://schemas.microsoft.com/office/drawing/2010/main" Requires="a14">
        <xdr:graphicFrame macro="">
          <xdr:nvGraphicFramePr>
            <xdr:cNvPr id="24" name="City">
              <a:extLst>
                <a:ext uri="{FF2B5EF4-FFF2-40B4-BE49-F238E27FC236}">
                  <a16:creationId xmlns:a16="http://schemas.microsoft.com/office/drawing/2014/main" id="{E77591A0-6A2D-1FFF-3BC1-6F0AFCFAE39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114872" y="2786149"/>
              <a:ext cx="2494131" cy="194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292274</xdr:colOff>
      <xdr:row>40</xdr:row>
      <xdr:rowOff>104756</xdr:rowOff>
    </xdr:from>
    <xdr:to>
      <xdr:col>14</xdr:col>
      <xdr:colOff>230373</xdr:colOff>
      <xdr:row>67</xdr:row>
      <xdr:rowOff>31316</xdr:rowOff>
    </xdr:to>
    <xdr:sp macro="" textlink="">
      <xdr:nvSpPr>
        <xdr:cNvPr id="26" name="Rectangle: Rounded Corners 25">
          <a:extLst>
            <a:ext uri="{FF2B5EF4-FFF2-40B4-BE49-F238E27FC236}">
              <a16:creationId xmlns:a16="http://schemas.microsoft.com/office/drawing/2014/main" id="{1459D1D1-BE3F-0BF5-A658-FAF9EC758128}"/>
            </a:ext>
          </a:extLst>
        </xdr:cNvPr>
        <xdr:cNvSpPr/>
      </xdr:nvSpPr>
      <xdr:spPr>
        <a:xfrm>
          <a:off x="894786" y="7193128"/>
          <a:ext cx="8266936" cy="4711211"/>
        </a:xfrm>
        <a:prstGeom prst="roundRect">
          <a:avLst>
            <a:gd name="adj" fmla="val 544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oneCellAnchor>
    <xdr:from>
      <xdr:col>3</xdr:col>
      <xdr:colOff>397701</xdr:colOff>
      <xdr:row>41</xdr:row>
      <xdr:rowOff>11351</xdr:rowOff>
    </xdr:from>
    <xdr:ext cx="5843395" cy="781111"/>
    <xdr:sp macro="" textlink="">
      <xdr:nvSpPr>
        <xdr:cNvPr id="27" name="Rectangle 26">
          <a:extLst>
            <a:ext uri="{FF2B5EF4-FFF2-40B4-BE49-F238E27FC236}">
              <a16:creationId xmlns:a16="http://schemas.microsoft.com/office/drawing/2014/main" id="{A032EC56-752F-A86A-BF17-430282D6004D}"/>
            </a:ext>
          </a:extLst>
        </xdr:cNvPr>
        <xdr:cNvSpPr/>
      </xdr:nvSpPr>
      <xdr:spPr>
        <a:xfrm>
          <a:off x="2213975" y="7714858"/>
          <a:ext cx="5843395" cy="781111"/>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none" lIns="91440" tIns="45720" rIns="91440" bIns="45720">
          <a:spAutoFit/>
        </a:bodyPr>
        <a:lstStyle/>
        <a:p>
          <a:pPr algn="ctr"/>
          <a:r>
            <a:rPr lang="en-IN" sz="4400" b="1" cap="none" spc="50">
              <a:ln w="0"/>
              <a:solidFill>
                <a:schemeClr val="bg2"/>
              </a:solidFill>
              <a:effectLst>
                <a:innerShdw blurRad="63500" dist="50800" dir="13500000">
                  <a:srgbClr val="000000">
                    <a:alpha val="50000"/>
                  </a:srgbClr>
                </a:innerShdw>
              </a:effectLst>
            </a:rPr>
            <a:t>Top 5 Products by Sales</a:t>
          </a:r>
          <a:endParaRPr lang="en-US" sz="4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1</xdr:col>
      <xdr:colOff>480164</xdr:colOff>
      <xdr:row>46</xdr:row>
      <xdr:rowOff>10438</xdr:rowOff>
    </xdr:from>
    <xdr:to>
      <xdr:col>10</xdr:col>
      <xdr:colOff>135698</xdr:colOff>
      <xdr:row>65</xdr:row>
      <xdr:rowOff>41753</xdr:rowOff>
    </xdr:to>
    <xdr:graphicFrame macro="">
      <xdr:nvGraphicFramePr>
        <xdr:cNvPr id="28" name="Chart 27">
          <a:extLst>
            <a:ext uri="{FF2B5EF4-FFF2-40B4-BE49-F238E27FC236}">
              <a16:creationId xmlns:a16="http://schemas.microsoft.com/office/drawing/2014/main" id="{DE817CAD-36A7-4805-BA72-B41928206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347284</xdr:colOff>
      <xdr:row>46</xdr:row>
      <xdr:rowOff>84133</xdr:rowOff>
    </xdr:from>
    <xdr:to>
      <xdr:col>13</xdr:col>
      <xdr:colOff>594987</xdr:colOff>
      <xdr:row>55</xdr:row>
      <xdr:rowOff>135698</xdr:rowOff>
    </xdr:to>
    <mc:AlternateContent xmlns:mc="http://schemas.openxmlformats.org/markup-compatibility/2006">
      <mc:Choice xmlns:a14="http://schemas.microsoft.com/office/drawing/2010/main" Requires="a14">
        <xdr:graphicFrame macro="">
          <xdr:nvGraphicFramePr>
            <xdr:cNvPr id="29" name="Top 5 Product">
              <a:extLst>
                <a:ext uri="{FF2B5EF4-FFF2-40B4-BE49-F238E27FC236}">
                  <a16:creationId xmlns:a16="http://schemas.microsoft.com/office/drawing/2014/main" id="{51BD76D9-92E6-F477-8D5A-EF1795C97E75}"/>
                </a:ext>
              </a:extLst>
            </xdr:cNvPr>
            <xdr:cNvGraphicFramePr/>
          </xdr:nvGraphicFramePr>
          <xdr:xfrm>
            <a:off x="0" y="0"/>
            <a:ext cx="0" cy="0"/>
          </xdr:xfrm>
          <a:graphic>
            <a:graphicData uri="http://schemas.microsoft.com/office/drawing/2010/slicer">
              <sle:slicer xmlns:sle="http://schemas.microsoft.com/office/drawing/2010/slicer" name="Top 5 Product"/>
            </a:graphicData>
          </a:graphic>
        </xdr:graphicFrame>
      </mc:Choice>
      <mc:Fallback>
        <xdr:sp macro="" textlink="">
          <xdr:nvSpPr>
            <xdr:cNvPr id="0" name=""/>
            <xdr:cNvSpPr>
              <a:spLocks noTextEdit="1"/>
            </xdr:cNvSpPr>
          </xdr:nvSpPr>
          <xdr:spPr>
            <a:xfrm>
              <a:off x="6766557" y="8581588"/>
              <a:ext cx="2164248" cy="1714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425302</xdr:colOff>
      <xdr:row>40</xdr:row>
      <xdr:rowOff>142354</xdr:rowOff>
    </xdr:from>
    <xdr:to>
      <xdr:col>28</xdr:col>
      <xdr:colOff>584790</xdr:colOff>
      <xdr:row>67</xdr:row>
      <xdr:rowOff>28434</xdr:rowOff>
    </xdr:to>
    <xdr:sp macro="" textlink="">
      <xdr:nvSpPr>
        <xdr:cNvPr id="30" name="Rectangle: Rounded Corners 29">
          <a:extLst>
            <a:ext uri="{FF2B5EF4-FFF2-40B4-BE49-F238E27FC236}">
              <a16:creationId xmlns:a16="http://schemas.microsoft.com/office/drawing/2014/main" id="{4D6F47F0-46D9-7F7F-ABC2-B4181751FA5A}"/>
            </a:ext>
          </a:extLst>
        </xdr:cNvPr>
        <xdr:cNvSpPr/>
      </xdr:nvSpPr>
      <xdr:spPr>
        <a:xfrm>
          <a:off x="9404779" y="7415990"/>
          <a:ext cx="8645397" cy="4795785"/>
        </a:xfrm>
        <a:prstGeom prst="roundRect">
          <a:avLst>
            <a:gd name="adj" fmla="val 3017"/>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28809</xdr:colOff>
      <xdr:row>45</xdr:row>
      <xdr:rowOff>172824</xdr:rowOff>
    </xdr:from>
    <xdr:to>
      <xdr:col>23</xdr:col>
      <xdr:colOff>603250</xdr:colOff>
      <xdr:row>65</xdr:row>
      <xdr:rowOff>96671</xdr:rowOff>
    </xdr:to>
    <xdr:graphicFrame macro="">
      <xdr:nvGraphicFramePr>
        <xdr:cNvPr id="33" name="Chart 32">
          <a:extLst>
            <a:ext uri="{FF2B5EF4-FFF2-40B4-BE49-F238E27FC236}">
              <a16:creationId xmlns:a16="http://schemas.microsoft.com/office/drawing/2014/main" id="{25CB149A-10FC-4110-8FFA-0303F3A3F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239847</xdr:colOff>
      <xdr:row>46</xdr:row>
      <xdr:rowOff>5347</xdr:rowOff>
    </xdr:from>
    <xdr:to>
      <xdr:col>27</xdr:col>
      <xdr:colOff>243858</xdr:colOff>
      <xdr:row>53</xdr:row>
      <xdr:rowOff>12299</xdr:rowOff>
    </xdr:to>
    <mc:AlternateContent xmlns:mc="http://schemas.openxmlformats.org/markup-compatibility/2006">
      <mc:Choice xmlns:a14="http://schemas.microsoft.com/office/drawing/2010/main" Requires="a14">
        <xdr:graphicFrame macro="">
          <xdr:nvGraphicFramePr>
            <xdr:cNvPr id="34" name="Customer Type">
              <a:extLst>
                <a:ext uri="{FF2B5EF4-FFF2-40B4-BE49-F238E27FC236}">
                  <a16:creationId xmlns:a16="http://schemas.microsoft.com/office/drawing/2014/main" id="{AC7A6608-839D-01D5-8CAA-19E47AF4FCF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15179665" y="8502802"/>
              <a:ext cx="1805102" cy="1300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389514</xdr:colOff>
      <xdr:row>41</xdr:row>
      <xdr:rowOff>2240</xdr:rowOff>
    </xdr:from>
    <xdr:ext cx="6494598" cy="718466"/>
    <xdr:sp macro="" textlink="">
      <xdr:nvSpPr>
        <xdr:cNvPr id="36" name="Rectangle 35">
          <a:extLst>
            <a:ext uri="{FF2B5EF4-FFF2-40B4-BE49-F238E27FC236}">
              <a16:creationId xmlns:a16="http://schemas.microsoft.com/office/drawing/2014/main" id="{6F0CE4EA-DD09-E7D0-9028-1CF67C10AE1F}"/>
            </a:ext>
          </a:extLst>
        </xdr:cNvPr>
        <xdr:cNvSpPr/>
      </xdr:nvSpPr>
      <xdr:spPr>
        <a:xfrm>
          <a:off x="10614169" y="7386713"/>
          <a:ext cx="6494598" cy="718466"/>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none" lIns="91440" tIns="45720" rIns="91440" bIns="45720">
          <a:spAutoFit/>
        </a:bodyPr>
        <a:lstStyle/>
        <a:p>
          <a:pPr algn="ctr"/>
          <a:r>
            <a:rPr lang="en-IN" sz="4000" b="1" cap="none" spc="50">
              <a:ln w="0"/>
              <a:solidFill>
                <a:schemeClr val="bg2"/>
              </a:solidFill>
              <a:effectLst>
                <a:innerShdw blurRad="63500" dist="50800" dir="13500000">
                  <a:srgbClr val="000000">
                    <a:alpha val="50000"/>
                  </a:srgbClr>
                </a:innerShdw>
              </a:effectLst>
            </a:rPr>
            <a:t>New vs Returning Customers</a:t>
          </a:r>
          <a:endParaRPr lang="en-US" sz="40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6</xdr:col>
      <xdr:colOff>57508</xdr:colOff>
      <xdr:row>69</xdr:row>
      <xdr:rowOff>129395</xdr:rowOff>
    </xdr:from>
    <xdr:to>
      <xdr:col>23</xdr:col>
      <xdr:colOff>488830</xdr:colOff>
      <xdr:row>102</xdr:row>
      <xdr:rowOff>129396</xdr:rowOff>
    </xdr:to>
    <xdr:sp macro="" textlink="">
      <xdr:nvSpPr>
        <xdr:cNvPr id="37" name="Rectangle: Rounded Corners 36">
          <a:extLst>
            <a:ext uri="{FF2B5EF4-FFF2-40B4-BE49-F238E27FC236}">
              <a16:creationId xmlns:a16="http://schemas.microsoft.com/office/drawing/2014/main" id="{B017B16C-6C80-4B39-B082-6374DBA6DAEC}"/>
            </a:ext>
          </a:extLst>
        </xdr:cNvPr>
        <xdr:cNvSpPr/>
      </xdr:nvSpPr>
      <xdr:spPr>
        <a:xfrm>
          <a:off x="4068791" y="13025886"/>
          <a:ext cx="10797397" cy="6167887"/>
        </a:xfrm>
        <a:prstGeom prst="roundRect">
          <a:avLst>
            <a:gd name="adj" fmla="val 5449"/>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6</xdr:col>
      <xdr:colOff>316303</xdr:colOff>
      <xdr:row>77</xdr:row>
      <xdr:rowOff>-1</xdr:rowOff>
    </xdr:from>
    <xdr:to>
      <xdr:col>18</xdr:col>
      <xdr:colOff>244415</xdr:colOff>
      <xdr:row>100</xdr:row>
      <xdr:rowOff>28754</xdr:rowOff>
    </xdr:to>
    <xdr:graphicFrame macro="">
      <xdr:nvGraphicFramePr>
        <xdr:cNvPr id="38" name="Chart 37">
          <a:extLst>
            <a:ext uri="{FF2B5EF4-FFF2-40B4-BE49-F238E27FC236}">
              <a16:creationId xmlns:a16="http://schemas.microsoft.com/office/drawing/2014/main" id="{932A1C19-3671-44AD-954D-1C78F563B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530635</xdr:colOff>
      <xdr:row>70</xdr:row>
      <xdr:rowOff>48770</xdr:rowOff>
    </xdr:from>
    <xdr:ext cx="8787214" cy="937629"/>
    <xdr:sp macro="" textlink="">
      <xdr:nvSpPr>
        <xdr:cNvPr id="39" name="Rectangle 38">
          <a:extLst>
            <a:ext uri="{FF2B5EF4-FFF2-40B4-BE49-F238E27FC236}">
              <a16:creationId xmlns:a16="http://schemas.microsoft.com/office/drawing/2014/main" id="{5BFEC801-76AA-6933-58DB-B1DDC770946A}"/>
            </a:ext>
          </a:extLst>
        </xdr:cNvPr>
        <xdr:cNvSpPr/>
      </xdr:nvSpPr>
      <xdr:spPr>
        <a:xfrm>
          <a:off x="5145767" y="13132166"/>
          <a:ext cx="8787214" cy="937629"/>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none" lIns="91440" tIns="45720" rIns="91440" bIns="45720">
          <a:spAutoFit/>
        </a:bodyPr>
        <a:lstStyle/>
        <a:p>
          <a:pPr algn="ctr"/>
          <a:r>
            <a:rPr lang="en-IN" sz="5400" b="1" cap="none" spc="50">
              <a:ln w="0"/>
              <a:solidFill>
                <a:schemeClr val="bg2"/>
              </a:solidFill>
              <a:effectLst>
                <a:innerShdw blurRad="63500" dist="50800" dir="13500000">
                  <a:srgbClr val="000000">
                    <a:alpha val="50000"/>
                  </a:srgbClr>
                </a:innerShdw>
              </a:effectLst>
            </a:rPr>
            <a:t>Employee Performance Chart</a:t>
          </a:r>
          <a:endParaRPr lang="en-US" sz="5400" b="1" cap="none" spc="50">
            <a:ln w="0"/>
            <a:solidFill>
              <a:schemeClr val="bg2"/>
            </a:solidFill>
            <a:effectLst>
              <a:innerShdw blurRad="63500" dist="50800" dir="13500000">
                <a:srgbClr val="000000">
                  <a:alpha val="50000"/>
                </a:srgbClr>
              </a:innerShdw>
            </a:effectLst>
          </a:endParaRPr>
        </a:p>
      </xdr:txBody>
    </xdr:sp>
    <xdr:clientData/>
  </xdr:oneCellAnchor>
  <xdr:twoCellAnchor editAs="oneCell">
    <xdr:from>
      <xdr:col>18</xdr:col>
      <xdr:colOff>501169</xdr:colOff>
      <xdr:row>77</xdr:row>
      <xdr:rowOff>6318</xdr:rowOff>
    </xdr:from>
    <xdr:to>
      <xdr:col>21</xdr:col>
      <xdr:colOff>518422</xdr:colOff>
      <xdr:row>90</xdr:row>
      <xdr:rowOff>41511</xdr:rowOff>
    </xdr:to>
    <mc:AlternateContent xmlns:mc="http://schemas.openxmlformats.org/markup-compatibility/2006">
      <mc:Choice xmlns:a14="http://schemas.microsoft.com/office/drawing/2010/main" Requires="a14">
        <xdr:graphicFrame macro="">
          <xdr:nvGraphicFramePr>
            <xdr:cNvPr id="40" name="Customer Name">
              <a:extLst>
                <a:ext uri="{FF2B5EF4-FFF2-40B4-BE49-F238E27FC236}">
                  <a16:creationId xmlns:a16="http://schemas.microsoft.com/office/drawing/2014/main" id="{0E39E662-D37F-C61B-798C-4AFF7193FAB1}"/>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11838805" y="14230318"/>
              <a:ext cx="1818344" cy="2436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0.4798</cdr:x>
      <cdr:y>0.3291</cdr:y>
    </cdr:from>
    <cdr:to>
      <cdr:x>0.5202</cdr:x>
      <cdr:y>0.6709</cdr:y>
    </cdr:to>
    <cdr:sp macro="" textlink="">
      <cdr:nvSpPr>
        <cdr:cNvPr id="2" name="Rectangle 1">
          <a:extLst xmlns:a="http://schemas.openxmlformats.org/drawingml/2006/main">
            <a:ext uri="{FF2B5EF4-FFF2-40B4-BE49-F238E27FC236}">
              <a16:creationId xmlns:a16="http://schemas.microsoft.com/office/drawing/2014/main" id="{F3F8FFDF-E665-82B4-7303-FC4BBA6C3258}"/>
            </a:ext>
          </a:extLst>
        </cdr:cNvPr>
        <cdr:cNvSpPr/>
      </cdr:nvSpPr>
      <cdr:spPr>
        <a:xfrm xmlns:a="http://schemas.openxmlformats.org/drawingml/2006/main">
          <a:off x="2193630" y="902785"/>
          <a:ext cx="184730"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1" cap="none" spc="50">
            <a:ln w="0"/>
            <a:solidFill>
              <a:schemeClr val="bg2"/>
            </a:solidFill>
            <a:effectLst>
              <a:innerShdw blurRad="63500" dist="50800" dir="13500000">
                <a:srgbClr val="000000">
                  <a:alpha val="50000"/>
                </a:srgbClr>
              </a:innerShdw>
            </a:effectLs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EGI" refreshedDate="46294.014313541666" createdVersion="8" refreshedVersion="8" minRefreshableVersion="3" recordCount="5" xr:uid="{8BC48574-8261-4931-81DF-69C2EC15B619}">
  <cacheSource type="worksheet">
    <worksheetSource ref="G1:J6" sheet="Analysis"/>
  </cacheSource>
  <cacheFields count="4">
    <cacheField name="Category" numFmtId="0">
      <sharedItems count="5">
        <s v="Electronics"/>
        <s v="Furniture"/>
        <s v="Clothing"/>
        <s v="Sports"/>
        <s v="Beauty"/>
      </sharedItems>
    </cacheField>
    <cacheField name="Total Sales" numFmtId="1">
      <sharedItems containsSemiMixedTypes="0" containsString="0" containsNumber="1" minValue="55018.393669994999" maxValue="12493511.709929336" count="5">
        <n v="12493511.709929336"/>
        <n v="2332948.3667401997"/>
        <n v="586825.11339893215"/>
        <n v="642112.93084499624"/>
        <n v="55018.393669994999"/>
      </sharedItems>
    </cacheField>
    <cacheField name="Total Profit" numFmtId="1">
      <sharedItems containsSemiMixedTypes="0" containsString="0" containsNumber="1" minValue="23141.089468314363" maxValue="2308697.3233747231" count="5">
        <n v="2308697.3233747231"/>
        <n v="770711.72808473918"/>
        <n v="264060.45553578716"/>
        <n v="287730.27538281167"/>
        <n v="23141.089468314363"/>
      </sharedItems>
    </cacheField>
    <cacheField name="Total Qty" numFmtId="1">
      <sharedItems containsSemiMixedTypes="0" containsString="0" containsNumber="1" minValue="161.08302521008392" maxValue="521.96086434573783" count="5">
        <n v="521.96086434573783"/>
        <n v="328.69344537815107"/>
        <n v="351.21651860744254"/>
        <n v="161.08302521008392"/>
        <n v="177.09613445378139"/>
      </sharedItems>
    </cacheField>
  </cacheFields>
  <extLst>
    <ext xmlns:x14="http://schemas.microsoft.com/office/spreadsheetml/2009/9/main" uri="{725AE2AE-9491-48be-B2B4-4EB974FC3084}">
      <x14:pivotCacheDefinition pivotCacheId="5755379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EGI" refreshedDate="46294.025683333333" createdVersion="8" refreshedVersion="8" minRefreshableVersion="3" recordCount="7" xr:uid="{743535B7-74F4-4841-BB26-51D4B72B5D5E}">
  <cacheSource type="worksheet">
    <worksheetSource ref="B31:E38" sheet="Analysis"/>
  </cacheSource>
  <cacheFields count="4">
    <cacheField name="City" numFmtId="0">
      <sharedItems count="6">
        <s v="Delhi"/>
        <s v="Noida"/>
        <s v="Ghaziabad"/>
        <s v="Jaipur"/>
        <s v="Meerut"/>
        <s v="Gurugram"/>
      </sharedItems>
    </cacheField>
    <cacheField name="Total Sales" numFmtId="1">
      <sharedItems containsSemiMixedTypes="0" containsString="0" containsNumber="1" minValue="8760.2218487394875" maxValue="5792471.4352941122"/>
    </cacheField>
    <cacheField name="Total Profit" numFmtId="1">
      <sharedItems containsSemiMixedTypes="0" containsString="0" containsNumber="1" minValue="6393.2136324270814" maxValue="1672716.1354216705"/>
    </cacheField>
    <cacheField name="Orders" numFmtId="0">
      <sharedItems containsSemiMixedTypes="0" containsString="0" containsNumber="1" containsInteger="1" minValue="15" maxValue="172"/>
    </cacheField>
  </cacheFields>
  <extLst>
    <ext xmlns:x14="http://schemas.microsoft.com/office/spreadsheetml/2009/9/main" uri="{725AE2AE-9491-48be-B2B4-4EB974FC3084}">
      <x14:pivotCacheDefinition pivotCacheId="20563366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EGI" refreshedDate="46294.029410763891" createdVersion="8" refreshedVersion="8" minRefreshableVersion="3" recordCount="5" xr:uid="{5DCDCCB6-ED1D-4017-A594-CBCDA8BF227E}">
  <cacheSource type="worksheet">
    <worksheetSource ref="A61:B66" sheet="Analysis"/>
  </cacheSource>
  <cacheFields count="2">
    <cacheField name="Top 5 Product" numFmtId="0">
      <sharedItems count="5">
        <s v="Laptop"/>
        <s v="Smartphone"/>
        <s v="Study Table"/>
        <s v="Office Chair"/>
        <s v="Mixer Grinder"/>
      </sharedItems>
    </cacheField>
    <cacheField name=" Sales" numFmtId="1">
      <sharedItems containsSemiMixedTypes="0" containsString="0" containsNumber="1" minValue="447187.76470588194" maxValue="7687278.6554621812"/>
    </cacheField>
  </cacheFields>
  <extLst>
    <ext xmlns:x14="http://schemas.microsoft.com/office/spreadsheetml/2009/9/main" uri="{725AE2AE-9491-48be-B2B4-4EB974FC3084}">
      <x14:pivotCacheDefinition pivotCacheId="187255060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EGI" refreshedDate="46294.035611226849" createdVersion="8" refreshedVersion="8" minRefreshableVersion="3" recordCount="15" xr:uid="{A66D70D2-D918-498C-97A7-16B29093BF10}">
  <cacheSource type="worksheet">
    <worksheetSource ref="I31:L46" sheet="Analysis"/>
  </cacheSource>
  <cacheFields count="4">
    <cacheField name="Customer Type" numFmtId="0">
      <sharedItems count="2">
        <s v="New"/>
        <s v="Returning"/>
      </sharedItems>
    </cacheField>
    <cacheField name="Orders" numFmtId="0">
      <sharedItems containsSemiMixedTypes="0" containsString="0" containsNumber="1" containsInteger="1" minValue="24" maxValue="40"/>
    </cacheField>
    <cacheField name="Total Sales" numFmtId="1">
      <sharedItems containsSemiMixedTypes="0" containsString="0" containsNumber="1" minValue="59047.704201680615" maxValue="3875387.8319327692"/>
    </cacheField>
    <cacheField name="Total Profit" numFmtId="1">
      <sharedItems containsSemiMixedTypes="0" containsString="0" containsNumber="1" minValue="52571.109095063861" maxValue="754054.3664933746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EGI" refreshedDate="46294.037442824076" createdVersion="8" refreshedVersion="8" minRefreshableVersion="3" recordCount="3" xr:uid="{C231DB89-AE77-4094-9052-7D3DDA72DC33}">
  <cacheSource type="worksheet">
    <worksheetSource ref="P31:R34" sheet="Analysis"/>
  </cacheSource>
  <cacheFields count="3">
    <cacheField name="Customer Type" numFmtId="0">
      <sharedItems containsBlank="1" count="3">
        <s v="New"/>
        <s v="Returning"/>
        <m/>
      </sharedItems>
    </cacheField>
    <cacheField name="Orders" numFmtId="0">
      <sharedItems containsString="0" containsBlank="1" containsNumber="1" containsInteger="1" minValue="226" maxValue="274" count="3">
        <n v="274"/>
        <n v="226"/>
        <m/>
      </sharedItems>
    </cacheField>
    <cacheField name="Total Sales" numFmtId="0">
      <sharedItems containsString="0" containsBlank="1" containsNumber="1" minValue="2317133.0756302504" maxValue="10586130.331812713"/>
    </cacheField>
  </cacheFields>
  <extLst>
    <ext xmlns:x14="http://schemas.microsoft.com/office/spreadsheetml/2009/9/main" uri="{725AE2AE-9491-48be-B2B4-4EB974FC3084}">
      <x14:pivotCacheDefinition pivotCacheId="173099337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NEGI" refreshedDate="46294.052090393518" createdVersion="8" refreshedVersion="8" minRefreshableVersion="3" recordCount="15" xr:uid="{50A64E35-8B9A-4163-A4E7-B5D5520A931C}">
  <cacheSource type="worksheet">
    <worksheetSource ref="G31:L46" sheet="Analysis"/>
  </cacheSource>
  <cacheFields count="6">
    <cacheField name="Customer_ID" numFmtId="0">
      <sharedItems/>
    </cacheField>
    <cacheField name="Customer Name" numFmtId="0">
      <sharedItems count="13">
        <s v="Rahul"/>
        <s v="Rohit"/>
        <s v="Karan"/>
        <s v="Arjun"/>
        <s v="Simran"/>
        <s v="Neha"/>
        <s v="Shreya"/>
        <s v="Pooja"/>
        <s v="Varun"/>
        <s v="Mohit"/>
        <s v="Anjali"/>
        <s v="Priya"/>
        <s v="Riya"/>
      </sharedItems>
    </cacheField>
    <cacheField name="Customer Type" numFmtId="0">
      <sharedItems/>
    </cacheField>
    <cacheField name="Orders" numFmtId="0">
      <sharedItems containsSemiMixedTypes="0" containsString="0" containsNumber="1" containsInteger="1" minValue="24" maxValue="40"/>
    </cacheField>
    <cacheField name="Total Sales" numFmtId="1">
      <sharedItems containsSemiMixedTypes="0" containsString="0" containsNumber="1" minValue="59047.704201680615" maxValue="3875387.8319327692"/>
    </cacheField>
    <cacheField name="Total Profit" numFmtId="1">
      <sharedItems containsSemiMixedTypes="0" containsString="0" containsNumber="1" minValue="52571.109095063861" maxValue="754054.36649337469"/>
    </cacheField>
  </cacheFields>
  <extLst>
    <ext xmlns:x14="http://schemas.microsoft.com/office/spreadsheetml/2009/9/main" uri="{725AE2AE-9491-48be-B2B4-4EB974FC3084}">
      <x14:pivotCacheDefinition pivotCacheId="28509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r>
  <r>
    <x v="1"/>
    <x v="1"/>
    <x v="1"/>
    <x v="1"/>
  </r>
  <r>
    <x v="2"/>
    <x v="2"/>
    <x v="2"/>
    <x v="2"/>
  </r>
  <r>
    <x v="3"/>
    <x v="3"/>
    <x v="3"/>
    <x v="3"/>
  </r>
  <r>
    <x v="4"/>
    <x v="4"/>
    <x v="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792471.4352941122"/>
    <n v="1672716.1354216705"/>
    <n v="172"/>
  </r>
  <r>
    <x v="1"/>
    <n v="3426598.1234093583"/>
    <n v="1008247.1390896598"/>
    <n v="118"/>
  </r>
  <r>
    <x v="2"/>
    <n v="2503160.1008403325"/>
    <n v="576228.21638223226"/>
    <n v="70"/>
  </r>
  <r>
    <x v="3"/>
    <n v="8760.2218487394875"/>
    <n v="6393.2136324270814"/>
    <n v="15"/>
  </r>
  <r>
    <x v="4"/>
    <n v="940008.11428571329"/>
    <n v="475333.23907701403"/>
    <n v="78"/>
  </r>
  <r>
    <x v="5"/>
    <n v="232265.41176470561"/>
    <n v="149620.6233421932"/>
    <n v="47"/>
  </r>
  <r>
    <x v="4"/>
    <n v="940008.11428571329"/>
    <n v="475333.23907701403"/>
    <n v="7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687278.6554621812"/>
  </r>
  <r>
    <x v="1"/>
    <n v="2165938.8235294106"/>
  </r>
  <r>
    <x v="2"/>
    <n v="831161.34453781438"/>
  </r>
  <r>
    <x v="3"/>
    <n v="731075.29411764641"/>
  </r>
  <r>
    <x v="4"/>
    <n v="447187.7647058819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40"/>
    <n v="3875387.8319327692"/>
    <n v="754054.36649337469"/>
  </r>
  <r>
    <x v="0"/>
    <n v="31"/>
    <n v="3270029.1764705847"/>
    <n v="559950.95724019432"/>
  </r>
  <r>
    <x v="0"/>
    <n v="31"/>
    <n v="1830504.4705882338"/>
    <n v="487475.25469941349"/>
  </r>
  <r>
    <x v="0"/>
    <n v="40"/>
    <n v="560040.55702280893"/>
    <n v="261302.15401369138"/>
  </r>
  <r>
    <x v="0"/>
    <n v="39"/>
    <n v="540318.33949579787"/>
    <n v="267305.45655905642"/>
  </r>
  <r>
    <x v="1"/>
    <n v="31"/>
    <n v="530708.97478991549"/>
    <n v="237775.15939450584"/>
  </r>
  <r>
    <x v="1"/>
    <n v="31"/>
    <n v="519221.5126050415"/>
    <n v="262998.18787543237"/>
  </r>
  <r>
    <x v="1"/>
    <n v="31"/>
    <n v="414467.36806722661"/>
    <n v="179840.07661549305"/>
  </r>
  <r>
    <x v="1"/>
    <n v="24"/>
    <n v="391515.29411764676"/>
    <n v="188629.03928027672"/>
  </r>
  <r>
    <x v="1"/>
    <n v="39"/>
    <n v="322926.28571428551"/>
    <n v="202901.72004270871"/>
  </r>
  <r>
    <x v="0"/>
    <n v="31"/>
    <n v="224868.57142857125"/>
    <n v="170461.24090129213"/>
  </r>
  <r>
    <x v="0"/>
    <n v="31"/>
    <n v="206077.98319327712"/>
    <n v="134209.70936628757"/>
  </r>
  <r>
    <x v="1"/>
    <n v="39"/>
    <n v="79245.936134453717"/>
    <n v="65682.469522152329"/>
  </r>
  <r>
    <x v="0"/>
    <n v="31"/>
    <n v="78903.401680672207"/>
    <n v="63381.665846253753"/>
  </r>
  <r>
    <x v="1"/>
    <n v="31"/>
    <n v="59047.704201680615"/>
    <n v="52571.10909506386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10586130.331812713"/>
  </r>
  <r>
    <x v="1"/>
    <x v="1"/>
    <n v="2317133.0756302504"/>
  </r>
  <r>
    <x v="2"/>
    <x v="2"/>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C101"/>
    <x v="0"/>
    <s v="New"/>
    <n v="40"/>
    <n v="3875387.8319327692"/>
    <n v="754054.36649337469"/>
  </r>
  <r>
    <s v="C111"/>
    <x v="1"/>
    <s v="New"/>
    <n v="31"/>
    <n v="3270029.1764705847"/>
    <n v="559950.95724019432"/>
  </r>
  <r>
    <s v="C106"/>
    <x v="2"/>
    <s v="New"/>
    <n v="31"/>
    <n v="1830504.4705882338"/>
    <n v="487475.25469941349"/>
  </r>
  <r>
    <s v="C102"/>
    <x v="3"/>
    <s v="New"/>
    <n v="40"/>
    <n v="560040.55702280893"/>
    <n v="261302.15401369138"/>
  </r>
  <r>
    <s v="C105"/>
    <x v="1"/>
    <s v="New"/>
    <n v="39"/>
    <n v="540318.33949579787"/>
    <n v="267305.45655905642"/>
  </r>
  <r>
    <s v="C107"/>
    <x v="4"/>
    <s v="Returning"/>
    <n v="31"/>
    <n v="530708.97478991549"/>
    <n v="237775.15939450584"/>
  </r>
  <r>
    <s v="C110"/>
    <x v="5"/>
    <s v="Returning"/>
    <n v="31"/>
    <n v="519221.5126050415"/>
    <n v="262998.18787543237"/>
  </r>
  <r>
    <s v="C112"/>
    <x v="6"/>
    <s v="Returning"/>
    <n v="31"/>
    <n v="414467.36806722661"/>
    <n v="179840.07661549305"/>
  </r>
  <r>
    <s v="C115"/>
    <x v="7"/>
    <s v="Returning"/>
    <n v="24"/>
    <n v="391515.29411764676"/>
    <n v="188629.03928027672"/>
  </r>
  <r>
    <s v="C104"/>
    <x v="0"/>
    <s v="Returning"/>
    <n v="39"/>
    <n v="322926.28571428551"/>
    <n v="202901.72004270871"/>
  </r>
  <r>
    <s v="C109"/>
    <x v="8"/>
    <s v="New"/>
    <n v="31"/>
    <n v="224868.57142857125"/>
    <n v="170461.24090129213"/>
  </r>
  <r>
    <s v="C114"/>
    <x v="9"/>
    <s v="New"/>
    <n v="31"/>
    <n v="206077.98319327712"/>
    <n v="134209.70936628757"/>
  </r>
  <r>
    <s v="C103"/>
    <x v="10"/>
    <s v="Returning"/>
    <n v="39"/>
    <n v="79245.936134453717"/>
    <n v="65682.469522152329"/>
  </r>
  <r>
    <s v="C113"/>
    <x v="11"/>
    <s v="New"/>
    <n v="31"/>
    <n v="78903.401680672207"/>
    <n v="63381.665846253753"/>
  </r>
  <r>
    <s v="C108"/>
    <x v="12"/>
    <s v="Returning"/>
    <n v="31"/>
    <n v="59047.704201680615"/>
    <n v="52571.1090950638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EAE28D-53F7-4A76-A0E8-81F5425980D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
    <pivotField axis="axisRow" showAll="0">
      <items count="6">
        <item x="4"/>
        <item x="2"/>
        <item x="0"/>
        <item x="1"/>
        <item x="3"/>
        <item t="default"/>
      </items>
    </pivotField>
    <pivotField dataField="1" numFmtId="1" showAll="0">
      <items count="6">
        <item x="4"/>
        <item x="2"/>
        <item x="3"/>
        <item x="1"/>
        <item x="0"/>
        <item t="default"/>
      </items>
    </pivotField>
    <pivotField numFmtId="1" showAll="0">
      <items count="6">
        <item h="1" x="4"/>
        <item h="1" x="2"/>
        <item x="3"/>
        <item h="1" x="1"/>
        <item h="1" x="0"/>
        <item t="default"/>
      </items>
    </pivotField>
    <pivotField numFmtId="1" showAll="0">
      <items count="6">
        <item x="3"/>
        <item h="1" x="4"/>
        <item h="1" x="1"/>
        <item h="1" x="2"/>
        <item h="1" x="0"/>
        <item t="default"/>
      </items>
    </pivotField>
  </pivotFields>
  <rowFields count="1">
    <field x="0"/>
  </rowFields>
  <rowItems count="6">
    <i>
      <x/>
    </i>
    <i>
      <x v="1"/>
    </i>
    <i>
      <x v="2"/>
    </i>
    <i>
      <x v="3"/>
    </i>
    <i>
      <x v="4"/>
    </i>
    <i t="grand">
      <x/>
    </i>
  </rowItems>
  <colItems count="1">
    <i/>
  </colItems>
  <dataFields count="1">
    <dataField name="Sum of Total Sales" fld="1"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04D54E-205B-4F07-91B7-982BD095CC89}"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89:I103" firstHeaderRow="1" firstDataRow="1" firstDataCol="1"/>
  <pivotFields count="6">
    <pivotField showAll="0"/>
    <pivotField axis="axisRow" showAll="0">
      <items count="14">
        <item x="10"/>
        <item x="3"/>
        <item x="2"/>
        <item x="9"/>
        <item x="5"/>
        <item x="7"/>
        <item x="11"/>
        <item x="0"/>
        <item x="12"/>
        <item x="1"/>
        <item x="6"/>
        <item x="4"/>
        <item x="8"/>
        <item t="default"/>
      </items>
    </pivotField>
    <pivotField showAll="0"/>
    <pivotField showAll="0"/>
    <pivotField dataField="1" numFmtId="1" showAll="0"/>
    <pivotField numFmtId="1"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Total Sales" fld="4"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417CC1-E796-4673-9037-6C9B599B49AE}"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79:P84" firstHeaderRow="1" firstDataRow="1" firstDataCol="1"/>
  <pivotFields count="3">
    <pivotField axis="axisRow" showAll="0">
      <items count="4">
        <item x="0"/>
        <item x="1"/>
        <item x="2"/>
        <item t="default"/>
      </items>
    </pivotField>
    <pivotField axis="axisRow" dataField="1" showAll="0">
      <items count="4">
        <item x="1"/>
        <item x="0"/>
        <item h="1" x="2"/>
        <item t="default"/>
      </items>
    </pivotField>
    <pivotField showAll="0"/>
  </pivotFields>
  <rowFields count="2">
    <field x="0"/>
    <field x="1"/>
  </rowFields>
  <rowItems count="5">
    <i>
      <x/>
    </i>
    <i r="1">
      <x v="1"/>
    </i>
    <i>
      <x v="1"/>
    </i>
    <i r="1">
      <x/>
    </i>
    <i t="grand">
      <x/>
    </i>
  </rowItems>
  <colItems count="1">
    <i/>
  </colItems>
  <dataFields count="1">
    <dataField name="Sum of Orders" fld="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6F11C1-D43E-4880-962D-48BD1DE8EDCB}"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46:AK49" firstHeaderRow="1" firstDataRow="1" firstDataCol="1"/>
  <pivotFields count="4">
    <pivotField axis="axisRow" showAll="0">
      <items count="3">
        <item x="0"/>
        <item x="1"/>
        <item t="default"/>
      </items>
    </pivotField>
    <pivotField showAll="0"/>
    <pivotField dataField="1" numFmtId="1" showAll="0"/>
    <pivotField numFmtId="1" showAll="0"/>
  </pivotFields>
  <rowFields count="1">
    <field x="0"/>
  </rowFields>
  <rowItems count="3">
    <i>
      <x/>
    </i>
    <i>
      <x v="1"/>
    </i>
    <i t="grand">
      <x/>
    </i>
  </rowItems>
  <colItems count="1">
    <i/>
  </colItems>
  <dataFields count="1">
    <dataField name="Sum of Total Sales"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6A20D-0AD3-4AB5-851E-126D3822DD59}"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62:Y68" firstHeaderRow="1" firstDataRow="1" firstDataCol="1"/>
  <pivotFields count="2">
    <pivotField axis="axisRow" showAll="0">
      <items count="6">
        <item x="0"/>
        <item x="4"/>
        <item x="3"/>
        <item x="1"/>
        <item x="2"/>
        <item t="default"/>
      </items>
    </pivotField>
    <pivotField dataField="1" numFmtId="1" showAll="0"/>
  </pivotFields>
  <rowFields count="1">
    <field x="0"/>
  </rowFields>
  <rowItems count="6">
    <i>
      <x/>
    </i>
    <i>
      <x v="1"/>
    </i>
    <i>
      <x v="2"/>
    </i>
    <i>
      <x v="3"/>
    </i>
    <i>
      <x v="4"/>
    </i>
    <i t="grand">
      <x/>
    </i>
  </rowItems>
  <colItems count="1">
    <i/>
  </colItems>
  <dataFields count="1">
    <dataField name="Sum of  Sales" fld="1" baseField="0" baseItem="0" numFmtId="1"/>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F127EB-7F72-4DED-AC0E-65920B01872F}"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36:X43" firstHeaderRow="1" firstDataRow="1" firstDataCol="1"/>
  <pivotFields count="4">
    <pivotField axis="axisRow" showAll="0">
      <items count="7">
        <item x="0"/>
        <item x="2"/>
        <item x="5"/>
        <item x="3"/>
        <item x="4"/>
        <item x="1"/>
        <item t="default"/>
      </items>
    </pivotField>
    <pivotField dataField="1" numFmtId="1" showAll="0"/>
    <pivotField numFmtId="1" showAll="0"/>
    <pivotField showAll="0"/>
  </pivotFields>
  <rowFields count="1">
    <field x="0"/>
  </rowFields>
  <rowItems count="7">
    <i>
      <x/>
    </i>
    <i>
      <x v="1"/>
    </i>
    <i>
      <x v="2"/>
    </i>
    <i>
      <x v="3"/>
    </i>
    <i>
      <x v="4"/>
    </i>
    <i>
      <x v="5"/>
    </i>
    <i t="grand">
      <x/>
    </i>
  </rowItems>
  <colItems count="1">
    <i/>
  </colItems>
  <dataFields count="1">
    <dataField name="Sum of Total Sales" fld="1"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ABD2A9-0D56-496B-9CB9-B64104EF9B1E}" sourceName="Category">
  <pivotTables>
    <pivotTable tabId="9" name="PivotTable1"/>
  </pivotTables>
  <data>
    <tabular pivotCacheId="575537959">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C9E764E-A0D6-4B0C-AF75-D89B6F48D523}" sourceName="City">
  <pivotTables>
    <pivotTable tabId="7" name="PivotTable3"/>
  </pivotTables>
  <data>
    <tabular pivotCacheId="2056336639">
      <items count="6">
        <i x="0" s="1"/>
        <i x="2" s="1"/>
        <i x="5"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5_Product" xr10:uid="{372290AF-AA34-47D7-BF2F-BC84D24D7587}" sourceName="Top 5 Product">
  <pivotTables>
    <pivotTable tabId="7" name="PivotTable4"/>
  </pivotTables>
  <data>
    <tabular pivotCacheId="1872550603">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BBFE28F-A695-4396-A11F-8F95E7AC35BC}" sourceName="Customer Type">
  <pivotTables>
    <pivotTable tabId="7" name="PivotTable6"/>
  </pivotTables>
  <data>
    <tabular pivotCacheId="1730993377">
      <items count="3">
        <i x="0" s="1"/>
        <i x="1"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6C7E96D7-2F4D-43C5-8616-5C424BAFC285}" sourceName="Customer Name">
  <pivotTables>
    <pivotTable tabId="7" name="PivotTable7"/>
  </pivotTables>
  <data>
    <tabular pivotCacheId="28509190">
      <items count="13">
        <i x="10" s="1"/>
        <i x="3" s="1"/>
        <i x="2" s="1"/>
        <i x="9" s="1"/>
        <i x="5" s="1"/>
        <i x="7" s="1"/>
        <i x="11" s="1"/>
        <i x="0" s="1"/>
        <i x="12" s="1"/>
        <i x="1" s="1"/>
        <i x="6" s="1"/>
        <i x="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097C0DD-8CCC-4904-9519-83DBC33364E6}" cache="Slicer_Category" caption="Category" style="SlicerStyleDark6" rowHeight="234950"/>
  <slicer name="City" xr10:uid="{0307EC76-821A-43AA-82E1-564DA9578381}" cache="Slicer_City" caption="City" style="SlicerStyleDark6" rowHeight="234950"/>
  <slicer name="Top 5 Product" xr10:uid="{A2C680C9-8793-48D6-968F-E567634FD81B}" cache="Slicer_Top_5_Product" caption="Top 5 Product" style="SlicerStyleDark6" rowHeight="234950"/>
  <slicer name="Customer Type" xr10:uid="{AAE76CEC-1468-4FE0-A602-15DB603BFFF3}" cache="Slicer_Customer_Type" caption="Customer Type" style="SlicerStyleDark6" rowHeight="234950"/>
  <slicer name="Customer Name" xr10:uid="{81903F19-7A0B-474A-A769-4DD8DAA53BA7}" cache="Slicer_Customer_Name" caption="Customer Name" startItem="5"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2.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8C11-8453-42D1-93A0-169DB8CFD982}">
  <dimension ref="A1:U501"/>
  <sheetViews>
    <sheetView workbookViewId="0">
      <selection activeCell="G20" sqref="G20"/>
    </sheetView>
  </sheetViews>
  <sheetFormatPr defaultRowHeight="14.4" x14ac:dyDescent="0.3"/>
  <cols>
    <col min="2" max="2" width="10.6640625" bestFit="1" customWidth="1"/>
    <col min="3" max="3" width="11.88671875" bestFit="1" customWidth="1"/>
    <col min="4" max="4" width="10.109375" bestFit="1" customWidth="1"/>
    <col min="6" max="6" width="9.44140625" bestFit="1" customWidth="1"/>
    <col min="9" max="9" width="10.77734375" bestFit="1" customWidth="1"/>
    <col min="10" max="10" width="12.44140625" bestFit="1" customWidth="1"/>
    <col min="12" max="12" width="13.21875" bestFit="1" customWidth="1"/>
    <col min="13" max="13" width="15.109375" bestFit="1" customWidth="1"/>
    <col min="14" max="14" width="9.77734375" bestFit="1" customWidth="1"/>
    <col min="15" max="15" width="9" bestFit="1" customWidth="1"/>
    <col min="16" max="16" width="11.109375" bestFit="1" customWidth="1"/>
    <col min="17" max="17" width="10.5546875" bestFit="1" customWidth="1"/>
    <col min="18" max="18" width="15.77734375" bestFit="1" customWidth="1"/>
    <col min="20" max="20" width="9.5546875" bestFit="1" customWidth="1"/>
    <col min="21" max="21" width="6" bestFit="1" customWidth="1"/>
  </cols>
  <sheetData>
    <row r="1" spans="1:21" x14ac:dyDescent="0.3">
      <c r="A1" s="3" t="s">
        <v>0</v>
      </c>
      <c r="B1" s="3" t="s">
        <v>1</v>
      </c>
      <c r="C1" s="3" t="s">
        <v>2</v>
      </c>
      <c r="D1" s="3" t="s">
        <v>3</v>
      </c>
      <c r="E1" s="3" t="s">
        <v>4</v>
      </c>
      <c r="F1" s="3" t="s">
        <v>5</v>
      </c>
      <c r="G1" s="3" t="s">
        <v>6</v>
      </c>
      <c r="H1" s="3" t="s">
        <v>7</v>
      </c>
      <c r="I1" s="3" t="s">
        <v>8</v>
      </c>
      <c r="J1" s="3" t="s">
        <v>9</v>
      </c>
      <c r="K1" s="3" t="s">
        <v>10</v>
      </c>
      <c r="L1" s="3" t="s">
        <v>2097</v>
      </c>
      <c r="M1" s="3" t="s">
        <v>2098</v>
      </c>
      <c r="N1" s="3" t="s">
        <v>556</v>
      </c>
      <c r="O1" s="3" t="s">
        <v>2099</v>
      </c>
      <c r="P1" s="3" t="s">
        <v>2100</v>
      </c>
      <c r="Q1" s="3" t="s">
        <v>2101</v>
      </c>
      <c r="R1" s="3" t="s">
        <v>2102</v>
      </c>
      <c r="S1" s="3" t="s">
        <v>2104</v>
      </c>
      <c r="T1" s="3" t="s">
        <v>2105</v>
      </c>
      <c r="U1" s="3" t="s">
        <v>2103</v>
      </c>
    </row>
    <row r="2" spans="1:21" x14ac:dyDescent="0.3">
      <c r="A2" s="2" t="s">
        <v>11</v>
      </c>
      <c r="B2" s="6">
        <v>46113</v>
      </c>
      <c r="C2" s="2" t="s">
        <v>12</v>
      </c>
      <c r="D2" s="2" t="s">
        <v>13</v>
      </c>
      <c r="E2" s="2" t="s">
        <v>14</v>
      </c>
      <c r="F2" s="2" t="s">
        <v>15</v>
      </c>
      <c r="G2" s="2" t="s">
        <v>16</v>
      </c>
      <c r="H2" s="11">
        <v>2</v>
      </c>
      <c r="I2" s="7">
        <v>0.05</v>
      </c>
      <c r="J2" s="11">
        <v>3</v>
      </c>
      <c r="K2" s="2" t="s">
        <v>17</v>
      </c>
      <c r="L2" s="2" t="str">
        <f>_xlfn.XLOOKUP(D2,Products!A:A,Products!B:B)</f>
        <v>Laptop</v>
      </c>
      <c r="M2" s="2" t="str">
        <f>_xlfn.XLOOKUP(D2,Products!A:A,Products!C:C)</f>
        <v>Electronics</v>
      </c>
      <c r="N2" s="2" t="str">
        <f>_xlfn.XLOOKUP(D2,Products!A:A,Products!D:D)</f>
        <v>HP</v>
      </c>
      <c r="O2" s="2">
        <f>_xlfn.XLOOKUP(D2,Products!A:A,Products!E:E)</f>
        <v>42000</v>
      </c>
      <c r="P2" s="2">
        <f>_xlfn.XLOOKUP(D2,Products!A:A,Products!F:F)</f>
        <v>55000</v>
      </c>
      <c r="Q2" s="11">
        <f>H2*P2</f>
        <v>110000</v>
      </c>
      <c r="R2" s="11">
        <f>Q2*I2</f>
        <v>5500</v>
      </c>
      <c r="S2" s="11">
        <f>Q2-R2</f>
        <v>104500</v>
      </c>
      <c r="T2" s="11">
        <f>H2*O2</f>
        <v>84000</v>
      </c>
      <c r="U2" s="11">
        <f>S2-T2</f>
        <v>20500</v>
      </c>
    </row>
    <row r="3" spans="1:21" x14ac:dyDescent="0.3">
      <c r="A3" s="2" t="s">
        <v>18</v>
      </c>
      <c r="B3" s="6">
        <v>46113</v>
      </c>
      <c r="C3" s="2" t="s">
        <v>19</v>
      </c>
      <c r="D3" s="2" t="s">
        <v>20</v>
      </c>
      <c r="E3" s="2" t="s">
        <v>21</v>
      </c>
      <c r="F3" s="2" t="s">
        <v>22</v>
      </c>
      <c r="G3" s="2" t="s">
        <v>23</v>
      </c>
      <c r="H3" s="11">
        <v>4</v>
      </c>
      <c r="I3" s="7">
        <v>0.1</v>
      </c>
      <c r="J3" s="11">
        <v>6</v>
      </c>
      <c r="K3" s="2" t="s">
        <v>17</v>
      </c>
      <c r="L3" s="2" t="str">
        <f>_xlfn.XLOOKUP(D3,Products!A:A,Products!B:B)</f>
        <v>Jeans</v>
      </c>
      <c r="M3" s="2" t="str">
        <f>_xlfn.XLOOKUP(D3,Products!A:A,Products!C:C)</f>
        <v>Clothing</v>
      </c>
      <c r="N3" s="2" t="str">
        <f>_xlfn.XLOOKUP(D3,Products!A:A,Products!D:D)</f>
        <v>Wrangler</v>
      </c>
      <c r="O3" s="2">
        <f>_xlfn.XLOOKUP(D3,Products!A:A,Products!E:E)</f>
        <v>1100</v>
      </c>
      <c r="P3" s="2">
        <f>_xlfn.XLOOKUP(D3,Products!A:A,Products!F:F)</f>
        <v>2200</v>
      </c>
      <c r="Q3" s="11">
        <f t="shared" ref="Q3:Q66" si="0">H3*P3</f>
        <v>8800</v>
      </c>
      <c r="R3" s="11">
        <f t="shared" ref="R3:R66" si="1">Q3*I3</f>
        <v>880</v>
      </c>
      <c r="S3" s="11">
        <f t="shared" ref="S3:S66" si="2">Q3-R3</f>
        <v>7920</v>
      </c>
      <c r="T3" s="11">
        <f t="shared" ref="T3:T66" si="3">H3*O3</f>
        <v>4400</v>
      </c>
      <c r="U3" s="11">
        <f t="shared" ref="U3:U66" si="4">S3-T3</f>
        <v>3520</v>
      </c>
    </row>
    <row r="4" spans="1:21" x14ac:dyDescent="0.3">
      <c r="A4" s="2" t="s">
        <v>24</v>
      </c>
      <c r="B4" s="6">
        <v>46114</v>
      </c>
      <c r="C4" s="2" t="s">
        <v>25</v>
      </c>
      <c r="D4" s="2" t="s">
        <v>26</v>
      </c>
      <c r="E4" s="2" t="s">
        <v>27</v>
      </c>
      <c r="F4" s="2" t="s">
        <v>28</v>
      </c>
      <c r="G4" s="2" t="s">
        <v>29</v>
      </c>
      <c r="H4" s="11">
        <v>1</v>
      </c>
      <c r="I4" s="7">
        <v>7.0000000000000007E-2</v>
      </c>
      <c r="J4" s="11">
        <v>8</v>
      </c>
      <c r="K4" s="2" t="s">
        <v>30</v>
      </c>
      <c r="L4" s="2" t="str">
        <f>_xlfn.XLOOKUP(D4,Products!A:A,Products!B:B)</f>
        <v>Face Wash</v>
      </c>
      <c r="M4" s="2" t="str">
        <f>_xlfn.XLOOKUP(D4,Products!A:A,Products!C:C)</f>
        <v>Beauty</v>
      </c>
      <c r="N4" s="2" t="str">
        <f>_xlfn.XLOOKUP(D4,Products!A:A,Products!D:D)</f>
        <v>Nivea</v>
      </c>
      <c r="O4" s="2">
        <f>_xlfn.XLOOKUP(D4,Products!A:A,Products!E:E)</f>
        <v>180</v>
      </c>
      <c r="P4" s="2">
        <f>_xlfn.XLOOKUP(D4,Products!A:A,Products!F:F)</f>
        <v>350</v>
      </c>
      <c r="Q4" s="11">
        <f t="shared" si="0"/>
        <v>350</v>
      </c>
      <c r="R4" s="11">
        <f t="shared" si="1"/>
        <v>24.500000000000004</v>
      </c>
      <c r="S4" s="11">
        <f t="shared" si="2"/>
        <v>325.5</v>
      </c>
      <c r="T4" s="11">
        <f t="shared" si="3"/>
        <v>180</v>
      </c>
      <c r="U4" s="11">
        <f t="shared" si="4"/>
        <v>145.5</v>
      </c>
    </row>
    <row r="5" spans="1:21" x14ac:dyDescent="0.3">
      <c r="A5" s="4" t="s">
        <v>31</v>
      </c>
      <c r="B5" s="5">
        <v>46114</v>
      </c>
      <c r="C5" s="4" t="s">
        <v>32</v>
      </c>
      <c r="D5" s="4" t="s">
        <v>37</v>
      </c>
      <c r="E5" s="4" t="s">
        <v>38</v>
      </c>
      <c r="F5" s="4" t="s">
        <v>39</v>
      </c>
      <c r="G5" s="4" t="s">
        <v>16</v>
      </c>
      <c r="H5" s="12">
        <v>3</v>
      </c>
      <c r="I5" s="8">
        <v>0.05</v>
      </c>
      <c r="J5" s="12">
        <v>2</v>
      </c>
      <c r="K5" s="4" t="s">
        <v>17</v>
      </c>
      <c r="L5" s="2" t="str">
        <f>_xlfn.XLOOKUP(D5,Products!A:A,Products!B:B)</f>
        <v>Headphones</v>
      </c>
      <c r="M5" s="2" t="str">
        <f>_xlfn.XLOOKUP(D5,Products!A:A,Products!C:C)</f>
        <v>Electronics</v>
      </c>
      <c r="N5" s="2" t="str">
        <f>_xlfn.XLOOKUP(D5,Products!A:A,Products!D:D)</f>
        <v>Sony</v>
      </c>
      <c r="O5" s="2">
        <f>_xlfn.XLOOKUP(D5,Products!A:A,Products!E:E)</f>
        <v>1800</v>
      </c>
      <c r="P5" s="2">
        <f>_xlfn.XLOOKUP(D5,Products!A:A,Products!F:F)</f>
        <v>3200</v>
      </c>
      <c r="Q5" s="11">
        <f t="shared" si="0"/>
        <v>9600</v>
      </c>
      <c r="R5" s="11">
        <f t="shared" si="1"/>
        <v>480</v>
      </c>
      <c r="S5" s="11">
        <f t="shared" si="2"/>
        <v>9120</v>
      </c>
      <c r="T5" s="11">
        <f t="shared" si="3"/>
        <v>5400</v>
      </c>
      <c r="U5" s="11">
        <f t="shared" si="4"/>
        <v>3720</v>
      </c>
    </row>
    <row r="6" spans="1:21" x14ac:dyDescent="0.3">
      <c r="A6" s="1" t="s">
        <v>33</v>
      </c>
      <c r="B6" s="9">
        <v>46115</v>
      </c>
      <c r="C6" s="1" t="s">
        <v>34</v>
      </c>
      <c r="D6" s="1" t="s">
        <v>40</v>
      </c>
      <c r="E6" s="1" t="s">
        <v>14</v>
      </c>
      <c r="F6" s="1" t="s">
        <v>41</v>
      </c>
      <c r="G6" s="1" t="s">
        <v>42</v>
      </c>
      <c r="H6" s="13">
        <v>5</v>
      </c>
      <c r="I6" s="10">
        <v>0.12</v>
      </c>
      <c r="J6" s="13">
        <v>5</v>
      </c>
      <c r="K6" s="10" t="s">
        <v>17</v>
      </c>
      <c r="L6" s="2" t="str">
        <f>_xlfn.XLOOKUP(D6,Products!A:A,Products!B:B)</f>
        <v>Office Chair</v>
      </c>
      <c r="M6" s="2" t="str">
        <f>_xlfn.XLOOKUP(D6,Products!A:A,Products!C:C)</f>
        <v>Furniture</v>
      </c>
      <c r="N6" s="2" t="str">
        <f>_xlfn.XLOOKUP(D6,Products!A:A,Products!D:D)</f>
        <v>Featherlite</v>
      </c>
      <c r="O6" s="2">
        <f>_xlfn.XLOOKUP(D6,Products!A:A,Products!E:E)</f>
        <v>4500</v>
      </c>
      <c r="P6" s="2">
        <f>_xlfn.XLOOKUP(D6,Products!A:A,Products!F:F)</f>
        <v>7500</v>
      </c>
      <c r="Q6" s="11">
        <f t="shared" si="0"/>
        <v>37500</v>
      </c>
      <c r="R6" s="11">
        <f t="shared" si="1"/>
        <v>4500</v>
      </c>
      <c r="S6" s="11">
        <f t="shared" si="2"/>
        <v>33000</v>
      </c>
      <c r="T6" s="11">
        <f t="shared" si="3"/>
        <v>22500</v>
      </c>
      <c r="U6" s="11">
        <f t="shared" si="4"/>
        <v>10500</v>
      </c>
    </row>
    <row r="7" spans="1:21" x14ac:dyDescent="0.3">
      <c r="A7" s="1" t="s">
        <v>35</v>
      </c>
      <c r="B7" s="9">
        <v>46115</v>
      </c>
      <c r="C7" s="1" t="s">
        <v>36</v>
      </c>
      <c r="D7" s="1" t="s">
        <v>43</v>
      </c>
      <c r="E7" s="1" t="s">
        <v>44</v>
      </c>
      <c r="F7" s="1" t="s">
        <v>15</v>
      </c>
      <c r="G7" s="1" t="s">
        <v>23</v>
      </c>
      <c r="H7" s="13">
        <v>1</v>
      </c>
      <c r="I7" s="10">
        <v>0.03</v>
      </c>
      <c r="J7" s="13">
        <v>4</v>
      </c>
      <c r="K7" s="10" t="s">
        <v>17</v>
      </c>
      <c r="L7" s="2" t="str">
        <f>_xlfn.XLOOKUP(D7,Products!A:A,Products!B:B)</f>
        <v>Smartphone</v>
      </c>
      <c r="M7" s="2" t="str">
        <f>_xlfn.XLOOKUP(D7,Products!A:A,Products!C:C)</f>
        <v>Electronics</v>
      </c>
      <c r="N7" s="2" t="str">
        <f>_xlfn.XLOOKUP(D7,Products!A:A,Products!D:D)</f>
        <v>Samsung</v>
      </c>
      <c r="O7" s="2">
        <f>_xlfn.XLOOKUP(D7,Products!A:A,Products!E:E)</f>
        <v>14000</v>
      </c>
      <c r="P7" s="2">
        <f>_xlfn.XLOOKUP(D7,Products!A:A,Products!F:F)</f>
        <v>22000</v>
      </c>
      <c r="Q7" s="11">
        <f t="shared" si="0"/>
        <v>22000</v>
      </c>
      <c r="R7" s="11">
        <f t="shared" si="1"/>
        <v>660</v>
      </c>
      <c r="S7" s="11">
        <f t="shared" si="2"/>
        <v>21340</v>
      </c>
      <c r="T7" s="11">
        <f t="shared" si="3"/>
        <v>14000</v>
      </c>
      <c r="U7" s="11">
        <f t="shared" si="4"/>
        <v>7340</v>
      </c>
    </row>
    <row r="8" spans="1:21" x14ac:dyDescent="0.3">
      <c r="A8" s="1" t="s">
        <v>45</v>
      </c>
      <c r="B8" s="9">
        <v>46116</v>
      </c>
      <c r="C8" s="1" t="s">
        <v>46</v>
      </c>
      <c r="D8" s="1" t="s">
        <v>47</v>
      </c>
      <c r="E8" s="1" t="s">
        <v>27</v>
      </c>
      <c r="F8" s="1" t="s">
        <v>22</v>
      </c>
      <c r="G8" s="1" t="s">
        <v>16</v>
      </c>
      <c r="H8" s="13">
        <v>2</v>
      </c>
      <c r="I8" s="10">
        <v>0.08</v>
      </c>
      <c r="J8" s="13">
        <v>7</v>
      </c>
      <c r="K8" s="10" t="s">
        <v>48</v>
      </c>
      <c r="L8" s="2" t="str">
        <f>_xlfn.XLOOKUP(D8,Products!A:A,Products!B:B)</f>
        <v>Mixer Grinder</v>
      </c>
      <c r="M8" s="2" t="str">
        <f>_xlfn.XLOOKUP(D8,Products!A:A,Products!C:C)</f>
        <v>Home Appliances</v>
      </c>
      <c r="N8" s="2" t="str">
        <f>_xlfn.XLOOKUP(D8,Products!A:A,Products!D:D)</f>
        <v>Philips</v>
      </c>
      <c r="O8" s="2">
        <f>_xlfn.XLOOKUP(D8,Products!A:A,Products!E:E)</f>
        <v>2800</v>
      </c>
      <c r="P8" s="2">
        <f>_xlfn.XLOOKUP(D8,Products!A:A,Products!F:F)</f>
        <v>4800</v>
      </c>
      <c r="Q8" s="11">
        <f t="shared" si="0"/>
        <v>9600</v>
      </c>
      <c r="R8" s="11">
        <f t="shared" si="1"/>
        <v>768</v>
      </c>
      <c r="S8" s="11">
        <f t="shared" si="2"/>
        <v>8832</v>
      </c>
      <c r="T8" s="11">
        <f t="shared" si="3"/>
        <v>5600</v>
      </c>
      <c r="U8" s="11">
        <f t="shared" si="4"/>
        <v>3232</v>
      </c>
    </row>
    <row r="9" spans="1:21" x14ac:dyDescent="0.3">
      <c r="A9" s="2" t="s">
        <v>49</v>
      </c>
      <c r="B9" s="6">
        <v>46116</v>
      </c>
      <c r="C9" s="2" t="s">
        <v>50</v>
      </c>
      <c r="D9" s="2" t="s">
        <v>51</v>
      </c>
      <c r="E9" s="2" t="s">
        <v>21</v>
      </c>
      <c r="F9" s="2" t="s">
        <v>52</v>
      </c>
      <c r="G9" s="2" t="s">
        <v>16</v>
      </c>
      <c r="H9" s="11">
        <v>3</v>
      </c>
      <c r="I9" s="7">
        <v>0.06</v>
      </c>
      <c r="J9" s="11">
        <v>3</v>
      </c>
      <c r="K9" s="2" t="s">
        <v>17</v>
      </c>
      <c r="L9" s="2" t="str">
        <f>_xlfn.XLOOKUP(D9,Products!A:A,Products!B:B)</f>
        <v>Shirt</v>
      </c>
      <c r="M9" s="2" t="str">
        <f>_xlfn.XLOOKUP(D9,Products!A:A,Products!C:C)</f>
        <v>Clothing</v>
      </c>
      <c r="N9" s="2" t="str">
        <f>_xlfn.XLOOKUP(D9,Products!A:A,Products!D:D)</f>
        <v>Levis</v>
      </c>
      <c r="O9" s="2">
        <f>_xlfn.XLOOKUP(D9,Products!A:A,Products!E:E)</f>
        <v>700</v>
      </c>
      <c r="P9" s="2">
        <f>_xlfn.XLOOKUP(D9,Products!A:A,Products!F:F)</f>
        <v>1500</v>
      </c>
      <c r="Q9" s="11">
        <f t="shared" si="0"/>
        <v>4500</v>
      </c>
      <c r="R9" s="11">
        <f t="shared" si="1"/>
        <v>270</v>
      </c>
      <c r="S9" s="11">
        <f t="shared" si="2"/>
        <v>4230</v>
      </c>
      <c r="T9" s="11">
        <f t="shared" si="3"/>
        <v>2100</v>
      </c>
      <c r="U9" s="11">
        <f t="shared" si="4"/>
        <v>2130</v>
      </c>
    </row>
    <row r="10" spans="1:21" x14ac:dyDescent="0.3">
      <c r="A10" s="2" t="s">
        <v>53</v>
      </c>
      <c r="B10" s="6">
        <v>46117</v>
      </c>
      <c r="C10" s="2" t="s">
        <v>54</v>
      </c>
      <c r="D10" s="2" t="s">
        <v>55</v>
      </c>
      <c r="E10" s="2" t="s">
        <v>38</v>
      </c>
      <c r="F10" s="2" t="s">
        <v>15</v>
      </c>
      <c r="G10" s="2" t="s">
        <v>29</v>
      </c>
      <c r="H10" s="11">
        <v>2</v>
      </c>
      <c r="I10" s="7">
        <v>0.1</v>
      </c>
      <c r="J10" s="11">
        <v>9</v>
      </c>
      <c r="K10" s="2" t="s">
        <v>30</v>
      </c>
      <c r="L10" s="2" t="str">
        <f>_xlfn.XLOOKUP(D10,Products!A:A,Products!B:B)</f>
        <v>Sports Shoes</v>
      </c>
      <c r="M10" s="2" t="str">
        <f>_xlfn.XLOOKUP(D10,Products!A:A,Products!C:C)</f>
        <v>Sports</v>
      </c>
      <c r="N10" s="2" t="str">
        <f>_xlfn.XLOOKUP(D10,Products!A:A,Products!D:D)</f>
        <v>Nike</v>
      </c>
      <c r="O10" s="2">
        <f>_xlfn.XLOOKUP(D10,Products!A:A,Products!E:E)</f>
        <v>2200</v>
      </c>
      <c r="P10" s="2">
        <f>_xlfn.XLOOKUP(D10,Products!A:A,Products!F:F)</f>
        <v>4500</v>
      </c>
      <c r="Q10" s="11">
        <f t="shared" si="0"/>
        <v>9000</v>
      </c>
      <c r="R10" s="11">
        <f t="shared" si="1"/>
        <v>900</v>
      </c>
      <c r="S10" s="11">
        <f t="shared" si="2"/>
        <v>8100</v>
      </c>
      <c r="T10" s="11">
        <f t="shared" si="3"/>
        <v>4400</v>
      </c>
      <c r="U10" s="11">
        <f t="shared" si="4"/>
        <v>3700</v>
      </c>
    </row>
    <row r="11" spans="1:21" x14ac:dyDescent="0.3">
      <c r="A11" s="2" t="s">
        <v>56</v>
      </c>
      <c r="B11" s="6">
        <v>46117</v>
      </c>
      <c r="C11" s="2" t="s">
        <v>57</v>
      </c>
      <c r="D11" s="2" t="s">
        <v>58</v>
      </c>
      <c r="E11" s="2" t="s">
        <v>44</v>
      </c>
      <c r="F11" s="2" t="s">
        <v>41</v>
      </c>
      <c r="G11" s="2" t="s">
        <v>23</v>
      </c>
      <c r="H11" s="11">
        <v>4</v>
      </c>
      <c r="I11" s="7">
        <v>0.05</v>
      </c>
      <c r="J11" s="11">
        <v>4</v>
      </c>
      <c r="K11" s="2" t="s">
        <v>17</v>
      </c>
      <c r="L11" s="2" t="str">
        <f>_xlfn.XLOOKUP(D11,Products!A:A,Products!B:B)</f>
        <v>Study Table</v>
      </c>
      <c r="M11" s="2" t="str">
        <f>_xlfn.XLOOKUP(D11,Products!A:A,Products!C:C)</f>
        <v>Furniture</v>
      </c>
      <c r="N11" s="2" t="str">
        <f>_xlfn.XLOOKUP(D11,Products!A:A,Products!D:D)</f>
        <v>Ikea</v>
      </c>
      <c r="O11" s="2">
        <f>_xlfn.XLOOKUP(D11,Products!A:A,Products!E:E)</f>
        <v>5000</v>
      </c>
      <c r="P11" s="2">
        <f>_xlfn.XLOOKUP(D11,Products!A:A,Products!F:F)</f>
        <v>8500</v>
      </c>
      <c r="Q11" s="11">
        <f t="shared" si="0"/>
        <v>34000</v>
      </c>
      <c r="R11" s="11">
        <f t="shared" si="1"/>
        <v>1700</v>
      </c>
      <c r="S11" s="11">
        <f t="shared" si="2"/>
        <v>32300</v>
      </c>
      <c r="T11" s="11">
        <f t="shared" si="3"/>
        <v>20000</v>
      </c>
      <c r="U11" s="11">
        <f t="shared" si="4"/>
        <v>12300</v>
      </c>
    </row>
    <row r="12" spans="1:21" x14ac:dyDescent="0.3">
      <c r="A12" s="2" t="s">
        <v>59</v>
      </c>
      <c r="B12" s="6">
        <v>46118</v>
      </c>
      <c r="C12" s="2" t="s">
        <v>60</v>
      </c>
      <c r="D12" s="2" t="s">
        <v>13</v>
      </c>
      <c r="E12" s="2" t="s">
        <v>14</v>
      </c>
      <c r="F12" s="2" t="s">
        <v>22</v>
      </c>
      <c r="G12" s="2" t="s">
        <v>16</v>
      </c>
      <c r="H12" s="11">
        <v>1</v>
      </c>
      <c r="I12" s="7">
        <v>0.04</v>
      </c>
      <c r="J12" s="11">
        <v>2</v>
      </c>
      <c r="K12" s="2" t="s">
        <v>17</v>
      </c>
      <c r="L12" s="2" t="str">
        <f>_xlfn.XLOOKUP(D12,Products!A:A,Products!B:B)</f>
        <v>Laptop</v>
      </c>
      <c r="M12" s="2" t="str">
        <f>_xlfn.XLOOKUP(D12,Products!A:A,Products!C:C)</f>
        <v>Electronics</v>
      </c>
      <c r="N12" s="2" t="str">
        <f>_xlfn.XLOOKUP(D12,Products!A:A,Products!D:D)</f>
        <v>HP</v>
      </c>
      <c r="O12" s="2">
        <f>_xlfn.XLOOKUP(D12,Products!A:A,Products!E:E)</f>
        <v>42000</v>
      </c>
      <c r="P12" s="2">
        <f>_xlfn.XLOOKUP(D12,Products!A:A,Products!F:F)</f>
        <v>55000</v>
      </c>
      <c r="Q12" s="11">
        <f t="shared" si="0"/>
        <v>55000</v>
      </c>
      <c r="R12" s="11">
        <f t="shared" si="1"/>
        <v>2200</v>
      </c>
      <c r="S12" s="11">
        <f t="shared" si="2"/>
        <v>52800</v>
      </c>
      <c r="T12" s="11">
        <f t="shared" si="3"/>
        <v>42000</v>
      </c>
      <c r="U12" s="11">
        <f t="shared" si="4"/>
        <v>10800</v>
      </c>
    </row>
    <row r="13" spans="1:21" x14ac:dyDescent="0.3">
      <c r="A13" s="2" t="s">
        <v>61</v>
      </c>
      <c r="B13" s="6">
        <v>46118</v>
      </c>
      <c r="C13" s="2" t="s">
        <v>62</v>
      </c>
      <c r="D13" s="2" t="s">
        <v>26</v>
      </c>
      <c r="E13" s="2" t="s">
        <v>27</v>
      </c>
      <c r="F13" s="2" t="s">
        <v>15</v>
      </c>
      <c r="G13" s="2" t="s">
        <v>42</v>
      </c>
      <c r="H13" s="11">
        <v>2</v>
      </c>
      <c r="I13" s="7">
        <v>0.09</v>
      </c>
      <c r="J13" s="11">
        <v>6</v>
      </c>
      <c r="K13" s="2" t="s">
        <v>17</v>
      </c>
      <c r="L13" s="2" t="str">
        <f>_xlfn.XLOOKUP(D13,Products!A:A,Products!B:B)</f>
        <v>Face Wash</v>
      </c>
      <c r="M13" s="2" t="str">
        <f>_xlfn.XLOOKUP(D13,Products!A:A,Products!C:C)</f>
        <v>Beauty</v>
      </c>
      <c r="N13" s="2" t="str">
        <f>_xlfn.XLOOKUP(D13,Products!A:A,Products!D:D)</f>
        <v>Nivea</v>
      </c>
      <c r="O13" s="2">
        <f>_xlfn.XLOOKUP(D13,Products!A:A,Products!E:E)</f>
        <v>180</v>
      </c>
      <c r="P13" s="2">
        <f>_xlfn.XLOOKUP(D13,Products!A:A,Products!F:F)</f>
        <v>350</v>
      </c>
      <c r="Q13" s="11">
        <f t="shared" si="0"/>
        <v>700</v>
      </c>
      <c r="R13" s="11">
        <f t="shared" si="1"/>
        <v>63</v>
      </c>
      <c r="S13" s="11">
        <f t="shared" si="2"/>
        <v>637</v>
      </c>
      <c r="T13" s="11">
        <f t="shared" si="3"/>
        <v>360</v>
      </c>
      <c r="U13" s="11">
        <f t="shared" si="4"/>
        <v>277</v>
      </c>
    </row>
    <row r="14" spans="1:21" x14ac:dyDescent="0.3">
      <c r="A14" s="2" t="s">
        <v>63</v>
      </c>
      <c r="B14" s="6">
        <v>46119</v>
      </c>
      <c r="C14" s="2" t="s">
        <v>64</v>
      </c>
      <c r="D14" s="2" t="s">
        <v>20</v>
      </c>
      <c r="E14" s="2" t="s">
        <v>21</v>
      </c>
      <c r="F14" s="2" t="s">
        <v>39</v>
      </c>
      <c r="G14" s="2" t="s">
        <v>23</v>
      </c>
      <c r="H14" s="11">
        <v>3</v>
      </c>
      <c r="I14" s="7">
        <v>7.0000000000000007E-2</v>
      </c>
      <c r="J14" s="11">
        <v>5</v>
      </c>
      <c r="K14" s="2" t="s">
        <v>17</v>
      </c>
      <c r="L14" s="2" t="str">
        <f>_xlfn.XLOOKUP(D14,Products!A:A,Products!B:B)</f>
        <v>Jeans</v>
      </c>
      <c r="M14" s="2" t="str">
        <f>_xlfn.XLOOKUP(D14,Products!A:A,Products!C:C)</f>
        <v>Clothing</v>
      </c>
      <c r="N14" s="2" t="str">
        <f>_xlfn.XLOOKUP(D14,Products!A:A,Products!D:D)</f>
        <v>Wrangler</v>
      </c>
      <c r="O14" s="2">
        <f>_xlfn.XLOOKUP(D14,Products!A:A,Products!E:E)</f>
        <v>1100</v>
      </c>
      <c r="P14" s="2">
        <f>_xlfn.XLOOKUP(D14,Products!A:A,Products!F:F)</f>
        <v>2200</v>
      </c>
      <c r="Q14" s="11">
        <f t="shared" si="0"/>
        <v>6600</v>
      </c>
      <c r="R14" s="11">
        <f t="shared" si="1"/>
        <v>462.00000000000006</v>
      </c>
      <c r="S14" s="11">
        <f t="shared" si="2"/>
        <v>6138</v>
      </c>
      <c r="T14" s="11">
        <f t="shared" si="3"/>
        <v>3300</v>
      </c>
      <c r="U14" s="11">
        <f t="shared" si="4"/>
        <v>2838</v>
      </c>
    </row>
    <row r="15" spans="1:21" x14ac:dyDescent="0.3">
      <c r="A15" s="2" t="s">
        <v>65</v>
      </c>
      <c r="B15" s="6">
        <v>46119</v>
      </c>
      <c r="C15" s="2" t="s">
        <v>66</v>
      </c>
      <c r="D15" s="2" t="s">
        <v>37</v>
      </c>
      <c r="E15" s="2" t="s">
        <v>38</v>
      </c>
      <c r="F15" s="2" t="s">
        <v>15</v>
      </c>
      <c r="G15" s="2" t="s">
        <v>16</v>
      </c>
      <c r="H15" s="11">
        <v>2</v>
      </c>
      <c r="I15" s="7">
        <v>0.05</v>
      </c>
      <c r="J15" s="11">
        <v>3</v>
      </c>
      <c r="K15" s="2" t="s">
        <v>17</v>
      </c>
      <c r="L15" s="2" t="str">
        <f>_xlfn.XLOOKUP(D15,Products!A:A,Products!B:B)</f>
        <v>Headphones</v>
      </c>
      <c r="M15" s="2" t="str">
        <f>_xlfn.XLOOKUP(D15,Products!A:A,Products!C:C)</f>
        <v>Electronics</v>
      </c>
      <c r="N15" s="2" t="str">
        <f>_xlfn.XLOOKUP(D15,Products!A:A,Products!D:D)</f>
        <v>Sony</v>
      </c>
      <c r="O15" s="2">
        <f>_xlfn.XLOOKUP(D15,Products!A:A,Products!E:E)</f>
        <v>1800</v>
      </c>
      <c r="P15" s="2">
        <f>_xlfn.XLOOKUP(D15,Products!A:A,Products!F:F)</f>
        <v>3200</v>
      </c>
      <c r="Q15" s="11">
        <f t="shared" si="0"/>
        <v>6400</v>
      </c>
      <c r="R15" s="11">
        <f t="shared" si="1"/>
        <v>320</v>
      </c>
      <c r="S15" s="11">
        <f t="shared" si="2"/>
        <v>6080</v>
      </c>
      <c r="T15" s="11">
        <f t="shared" si="3"/>
        <v>3600</v>
      </c>
      <c r="U15" s="11">
        <f t="shared" si="4"/>
        <v>2480</v>
      </c>
    </row>
    <row r="16" spans="1:21" x14ac:dyDescent="0.3">
      <c r="A16" s="2" t="s">
        <v>67</v>
      </c>
      <c r="B16" s="6">
        <v>46120</v>
      </c>
      <c r="C16" s="2" t="s">
        <v>68</v>
      </c>
      <c r="D16" s="2" t="s">
        <v>40</v>
      </c>
      <c r="E16" s="2" t="s">
        <v>44</v>
      </c>
      <c r="F16" s="2" t="s">
        <v>22</v>
      </c>
      <c r="G16" s="2" t="s">
        <v>29</v>
      </c>
      <c r="H16" s="11">
        <v>6</v>
      </c>
      <c r="I16" s="7">
        <v>0.15</v>
      </c>
      <c r="J16" s="11">
        <v>8</v>
      </c>
      <c r="K16" s="2" t="s">
        <v>30</v>
      </c>
      <c r="L16" s="2" t="str">
        <f>_xlfn.XLOOKUP(D16,Products!A:A,Products!B:B)</f>
        <v>Office Chair</v>
      </c>
      <c r="M16" s="2" t="str">
        <f>_xlfn.XLOOKUP(D16,Products!A:A,Products!C:C)</f>
        <v>Furniture</v>
      </c>
      <c r="N16" s="2" t="str">
        <f>_xlfn.XLOOKUP(D16,Products!A:A,Products!D:D)</f>
        <v>Featherlite</v>
      </c>
      <c r="O16" s="2">
        <f>_xlfn.XLOOKUP(D16,Products!A:A,Products!E:E)</f>
        <v>4500</v>
      </c>
      <c r="P16" s="2">
        <f>_xlfn.XLOOKUP(D16,Products!A:A,Products!F:F)</f>
        <v>7500</v>
      </c>
      <c r="Q16" s="11">
        <f t="shared" si="0"/>
        <v>45000</v>
      </c>
      <c r="R16" s="11">
        <f t="shared" si="1"/>
        <v>6750</v>
      </c>
      <c r="S16" s="11">
        <f t="shared" si="2"/>
        <v>38250</v>
      </c>
      <c r="T16" s="11">
        <f t="shared" si="3"/>
        <v>27000</v>
      </c>
      <c r="U16" s="11">
        <f t="shared" si="4"/>
        <v>11250</v>
      </c>
    </row>
    <row r="17" spans="1:21" x14ac:dyDescent="0.3">
      <c r="A17" s="2" t="s">
        <v>69</v>
      </c>
      <c r="B17" s="6">
        <v>46120</v>
      </c>
      <c r="C17" s="2" t="s">
        <v>12</v>
      </c>
      <c r="D17" s="2" t="s">
        <v>43</v>
      </c>
      <c r="E17" s="2" t="s">
        <v>14</v>
      </c>
      <c r="F17" s="2" t="s">
        <v>15</v>
      </c>
      <c r="G17" s="2" t="s">
        <v>16</v>
      </c>
      <c r="H17" s="11">
        <v>2</v>
      </c>
      <c r="I17" s="7">
        <v>0.05</v>
      </c>
      <c r="J17" s="11">
        <v>3</v>
      </c>
      <c r="K17" s="2" t="s">
        <v>17</v>
      </c>
      <c r="L17" s="2" t="str">
        <f>_xlfn.XLOOKUP(D17,Products!A:A,Products!B:B)</f>
        <v>Smartphone</v>
      </c>
      <c r="M17" s="2" t="str">
        <f>_xlfn.XLOOKUP(D17,Products!A:A,Products!C:C)</f>
        <v>Electronics</v>
      </c>
      <c r="N17" s="2" t="str">
        <f>_xlfn.XLOOKUP(D17,Products!A:A,Products!D:D)</f>
        <v>Samsung</v>
      </c>
      <c r="O17" s="2">
        <f>_xlfn.XLOOKUP(D17,Products!A:A,Products!E:E)</f>
        <v>14000</v>
      </c>
      <c r="P17" s="2">
        <f>_xlfn.XLOOKUP(D17,Products!A:A,Products!F:F)</f>
        <v>22000</v>
      </c>
      <c r="Q17" s="11">
        <f t="shared" si="0"/>
        <v>44000</v>
      </c>
      <c r="R17" s="11">
        <f t="shared" si="1"/>
        <v>2200</v>
      </c>
      <c r="S17" s="11">
        <f t="shared" si="2"/>
        <v>41800</v>
      </c>
      <c r="T17" s="11">
        <f t="shared" si="3"/>
        <v>28000</v>
      </c>
      <c r="U17" s="11">
        <f t="shared" si="4"/>
        <v>13800</v>
      </c>
    </row>
    <row r="18" spans="1:21" x14ac:dyDescent="0.3">
      <c r="A18" s="2" t="s">
        <v>70</v>
      </c>
      <c r="B18" s="6">
        <v>46121</v>
      </c>
      <c r="C18" s="2" t="s">
        <v>19</v>
      </c>
      <c r="D18" s="2" t="s">
        <v>47</v>
      </c>
      <c r="E18" s="2" t="s">
        <v>27</v>
      </c>
      <c r="F18" s="2" t="s">
        <v>41</v>
      </c>
      <c r="G18" s="2" t="s">
        <v>23</v>
      </c>
      <c r="H18" s="11">
        <v>1</v>
      </c>
      <c r="I18" s="7">
        <v>0.08</v>
      </c>
      <c r="J18" s="11">
        <v>4</v>
      </c>
      <c r="K18" s="2" t="s">
        <v>17</v>
      </c>
      <c r="L18" s="2" t="str">
        <f>_xlfn.XLOOKUP(D18,Products!A:A,Products!B:B)</f>
        <v>Mixer Grinder</v>
      </c>
      <c r="M18" s="2" t="str">
        <f>_xlfn.XLOOKUP(D18,Products!A:A,Products!C:C)</f>
        <v>Home Appliances</v>
      </c>
      <c r="N18" s="2" t="str">
        <f>_xlfn.XLOOKUP(D18,Products!A:A,Products!D:D)</f>
        <v>Philips</v>
      </c>
      <c r="O18" s="2">
        <f>_xlfn.XLOOKUP(D18,Products!A:A,Products!E:E)</f>
        <v>2800</v>
      </c>
      <c r="P18" s="2">
        <f>_xlfn.XLOOKUP(D18,Products!A:A,Products!F:F)</f>
        <v>4800</v>
      </c>
      <c r="Q18" s="11">
        <f t="shared" si="0"/>
        <v>4800</v>
      </c>
      <c r="R18" s="11">
        <f t="shared" si="1"/>
        <v>384</v>
      </c>
      <c r="S18" s="11">
        <f t="shared" si="2"/>
        <v>4416</v>
      </c>
      <c r="T18" s="11">
        <f t="shared" si="3"/>
        <v>2800</v>
      </c>
      <c r="U18" s="11">
        <f t="shared" si="4"/>
        <v>1616</v>
      </c>
    </row>
    <row r="19" spans="1:21" x14ac:dyDescent="0.3">
      <c r="A19" s="2" t="s">
        <v>71</v>
      </c>
      <c r="B19" s="6">
        <v>46121</v>
      </c>
      <c r="C19" s="2" t="s">
        <v>25</v>
      </c>
      <c r="D19" s="2" t="s">
        <v>51</v>
      </c>
      <c r="E19" s="2" t="s">
        <v>21</v>
      </c>
      <c r="F19" s="2" t="s">
        <v>52</v>
      </c>
      <c r="G19" s="2" t="s">
        <v>29</v>
      </c>
      <c r="H19" s="11">
        <v>3</v>
      </c>
      <c r="I19" s="7">
        <v>0.1</v>
      </c>
      <c r="J19" s="11">
        <v>10</v>
      </c>
      <c r="K19" s="2" t="s">
        <v>30</v>
      </c>
      <c r="L19" s="2" t="str">
        <f>_xlfn.XLOOKUP(D19,Products!A:A,Products!B:B)</f>
        <v>Shirt</v>
      </c>
      <c r="M19" s="2" t="str">
        <f>_xlfn.XLOOKUP(D19,Products!A:A,Products!C:C)</f>
        <v>Clothing</v>
      </c>
      <c r="N19" s="2" t="str">
        <f>_xlfn.XLOOKUP(D19,Products!A:A,Products!D:D)</f>
        <v>Levis</v>
      </c>
      <c r="O19" s="2">
        <f>_xlfn.XLOOKUP(D19,Products!A:A,Products!E:E)</f>
        <v>700</v>
      </c>
      <c r="P19" s="2">
        <f>_xlfn.XLOOKUP(D19,Products!A:A,Products!F:F)</f>
        <v>1500</v>
      </c>
      <c r="Q19" s="11">
        <f t="shared" si="0"/>
        <v>4500</v>
      </c>
      <c r="R19" s="11">
        <f t="shared" si="1"/>
        <v>450</v>
      </c>
      <c r="S19" s="11">
        <f t="shared" si="2"/>
        <v>4050</v>
      </c>
      <c r="T19" s="11">
        <f t="shared" si="3"/>
        <v>2100</v>
      </c>
      <c r="U19" s="11">
        <f t="shared" si="4"/>
        <v>1950</v>
      </c>
    </row>
    <row r="20" spans="1:21" x14ac:dyDescent="0.3">
      <c r="A20" s="2" t="s">
        <v>72</v>
      </c>
      <c r="B20" s="6">
        <v>46122</v>
      </c>
      <c r="C20" s="2" t="s">
        <v>32</v>
      </c>
      <c r="D20" s="2" t="s">
        <v>55</v>
      </c>
      <c r="E20" s="2" t="s">
        <v>38</v>
      </c>
      <c r="F20" s="2" t="s">
        <v>22</v>
      </c>
      <c r="G20" s="2" t="s">
        <v>16</v>
      </c>
      <c r="H20" s="11">
        <v>2</v>
      </c>
      <c r="I20" s="7">
        <v>0.06</v>
      </c>
      <c r="J20" s="11">
        <v>2</v>
      </c>
      <c r="K20" s="2" t="s">
        <v>17</v>
      </c>
      <c r="L20" s="2" t="str">
        <f>_xlfn.XLOOKUP(D20,Products!A:A,Products!B:B)</f>
        <v>Sports Shoes</v>
      </c>
      <c r="M20" s="2" t="str">
        <f>_xlfn.XLOOKUP(D20,Products!A:A,Products!C:C)</f>
        <v>Sports</v>
      </c>
      <c r="N20" s="2" t="str">
        <f>_xlfn.XLOOKUP(D20,Products!A:A,Products!D:D)</f>
        <v>Nike</v>
      </c>
      <c r="O20" s="2">
        <f>_xlfn.XLOOKUP(D20,Products!A:A,Products!E:E)</f>
        <v>2200</v>
      </c>
      <c r="P20" s="2">
        <f>_xlfn.XLOOKUP(D20,Products!A:A,Products!F:F)</f>
        <v>4500</v>
      </c>
      <c r="Q20" s="11">
        <f t="shared" si="0"/>
        <v>9000</v>
      </c>
      <c r="R20" s="11">
        <f t="shared" si="1"/>
        <v>540</v>
      </c>
      <c r="S20" s="11">
        <f t="shared" si="2"/>
        <v>8460</v>
      </c>
      <c r="T20" s="11">
        <f t="shared" si="3"/>
        <v>4400</v>
      </c>
      <c r="U20" s="11">
        <f t="shared" si="4"/>
        <v>4060</v>
      </c>
    </row>
    <row r="21" spans="1:21" x14ac:dyDescent="0.3">
      <c r="A21" s="2" t="s">
        <v>73</v>
      </c>
      <c r="B21" s="6">
        <v>46122</v>
      </c>
      <c r="C21" s="2" t="s">
        <v>34</v>
      </c>
      <c r="D21" s="2" t="s">
        <v>58</v>
      </c>
      <c r="E21" s="2" t="s">
        <v>44</v>
      </c>
      <c r="F21" s="2" t="s">
        <v>15</v>
      </c>
      <c r="G21" s="2" t="s">
        <v>23</v>
      </c>
      <c r="H21" s="11">
        <v>5</v>
      </c>
      <c r="I21" s="7">
        <v>0.09</v>
      </c>
      <c r="J21" s="11">
        <v>5</v>
      </c>
      <c r="K21" s="2" t="s">
        <v>17</v>
      </c>
      <c r="L21" s="2" t="str">
        <f>_xlfn.XLOOKUP(D21,Products!A:A,Products!B:B)</f>
        <v>Study Table</v>
      </c>
      <c r="M21" s="2" t="str">
        <f>_xlfn.XLOOKUP(D21,Products!A:A,Products!C:C)</f>
        <v>Furniture</v>
      </c>
      <c r="N21" s="2" t="str">
        <f>_xlfn.XLOOKUP(D21,Products!A:A,Products!D:D)</f>
        <v>Ikea</v>
      </c>
      <c r="O21" s="2">
        <f>_xlfn.XLOOKUP(D21,Products!A:A,Products!E:E)</f>
        <v>5000</v>
      </c>
      <c r="P21" s="2">
        <f>_xlfn.XLOOKUP(D21,Products!A:A,Products!F:F)</f>
        <v>8500</v>
      </c>
      <c r="Q21" s="11">
        <f t="shared" si="0"/>
        <v>42500</v>
      </c>
      <c r="R21" s="11">
        <f t="shared" si="1"/>
        <v>3825</v>
      </c>
      <c r="S21" s="11">
        <f t="shared" si="2"/>
        <v>38675</v>
      </c>
      <c r="T21" s="11">
        <f t="shared" si="3"/>
        <v>25000</v>
      </c>
      <c r="U21" s="11">
        <f t="shared" si="4"/>
        <v>13675</v>
      </c>
    </row>
    <row r="22" spans="1:21" x14ac:dyDescent="0.3">
      <c r="A22" s="2" t="s">
        <v>74</v>
      </c>
      <c r="B22" s="6">
        <v>46123</v>
      </c>
      <c r="C22" s="2" t="s">
        <v>36</v>
      </c>
      <c r="D22" s="2" t="s">
        <v>13</v>
      </c>
      <c r="E22" s="2" t="s">
        <v>14</v>
      </c>
      <c r="F22" s="2" t="s">
        <v>39</v>
      </c>
      <c r="G22" s="2" t="s">
        <v>16</v>
      </c>
      <c r="H22" s="11">
        <v>1</v>
      </c>
      <c r="I22" s="7">
        <v>0.04</v>
      </c>
      <c r="J22" s="11">
        <v>3</v>
      </c>
      <c r="K22" s="2" t="s">
        <v>17</v>
      </c>
      <c r="L22" s="2" t="str">
        <f>_xlfn.XLOOKUP(D22,Products!A:A,Products!B:B)</f>
        <v>Laptop</v>
      </c>
      <c r="M22" s="2" t="str">
        <f>_xlfn.XLOOKUP(D22,Products!A:A,Products!C:C)</f>
        <v>Electronics</v>
      </c>
      <c r="N22" s="2" t="str">
        <f>_xlfn.XLOOKUP(D22,Products!A:A,Products!D:D)</f>
        <v>HP</v>
      </c>
      <c r="O22" s="2">
        <f>_xlfn.XLOOKUP(D22,Products!A:A,Products!E:E)</f>
        <v>42000</v>
      </c>
      <c r="P22" s="2">
        <f>_xlfn.XLOOKUP(D22,Products!A:A,Products!F:F)</f>
        <v>55000</v>
      </c>
      <c r="Q22" s="11">
        <f t="shared" si="0"/>
        <v>55000</v>
      </c>
      <c r="R22" s="11">
        <f t="shared" si="1"/>
        <v>2200</v>
      </c>
      <c r="S22" s="11">
        <f t="shared" si="2"/>
        <v>52800</v>
      </c>
      <c r="T22" s="11">
        <f t="shared" si="3"/>
        <v>42000</v>
      </c>
      <c r="U22" s="11">
        <f t="shared" si="4"/>
        <v>10800</v>
      </c>
    </row>
    <row r="23" spans="1:21" x14ac:dyDescent="0.3">
      <c r="A23" s="2" t="s">
        <v>75</v>
      </c>
      <c r="B23" s="6">
        <v>46123</v>
      </c>
      <c r="C23" s="2" t="s">
        <v>46</v>
      </c>
      <c r="D23" s="2" t="s">
        <v>20</v>
      </c>
      <c r="E23" s="2" t="s">
        <v>27</v>
      </c>
      <c r="F23" s="2" t="s">
        <v>15</v>
      </c>
      <c r="G23" s="2" t="s">
        <v>29</v>
      </c>
      <c r="H23" s="11">
        <v>2</v>
      </c>
      <c r="I23" s="7">
        <v>7.0000000000000007E-2</v>
      </c>
      <c r="J23" s="11">
        <v>7</v>
      </c>
      <c r="K23" s="2" t="s">
        <v>17</v>
      </c>
      <c r="L23" s="2" t="str">
        <f>_xlfn.XLOOKUP(D23,Products!A:A,Products!B:B)</f>
        <v>Jeans</v>
      </c>
      <c r="M23" s="2" t="str">
        <f>_xlfn.XLOOKUP(D23,Products!A:A,Products!C:C)</f>
        <v>Clothing</v>
      </c>
      <c r="N23" s="2" t="str">
        <f>_xlfn.XLOOKUP(D23,Products!A:A,Products!D:D)</f>
        <v>Wrangler</v>
      </c>
      <c r="O23" s="2">
        <f>_xlfn.XLOOKUP(D23,Products!A:A,Products!E:E)</f>
        <v>1100</v>
      </c>
      <c r="P23" s="2">
        <f>_xlfn.XLOOKUP(D23,Products!A:A,Products!F:F)</f>
        <v>2200</v>
      </c>
      <c r="Q23" s="11">
        <f t="shared" si="0"/>
        <v>4400</v>
      </c>
      <c r="R23" s="11">
        <f t="shared" si="1"/>
        <v>308.00000000000006</v>
      </c>
      <c r="S23" s="11">
        <f t="shared" si="2"/>
        <v>4092</v>
      </c>
      <c r="T23" s="11">
        <f t="shared" si="3"/>
        <v>2200</v>
      </c>
      <c r="U23" s="11">
        <f t="shared" si="4"/>
        <v>1892</v>
      </c>
    </row>
    <row r="24" spans="1:21" x14ac:dyDescent="0.3">
      <c r="A24" s="2" t="s">
        <v>76</v>
      </c>
      <c r="B24" s="6">
        <v>46124</v>
      </c>
      <c r="C24" s="2" t="s">
        <v>50</v>
      </c>
      <c r="D24" s="2" t="s">
        <v>26</v>
      </c>
      <c r="E24" s="2" t="s">
        <v>21</v>
      </c>
      <c r="F24" s="2" t="s">
        <v>41</v>
      </c>
      <c r="G24" s="2" t="s">
        <v>23</v>
      </c>
      <c r="H24" s="11">
        <v>1</v>
      </c>
      <c r="I24" s="7">
        <v>0.05</v>
      </c>
      <c r="J24" s="11">
        <v>4</v>
      </c>
      <c r="K24" s="2" t="s">
        <v>17</v>
      </c>
      <c r="L24" s="2" t="str">
        <f>_xlfn.XLOOKUP(D24,Products!A:A,Products!B:B)</f>
        <v>Face Wash</v>
      </c>
      <c r="M24" s="2" t="str">
        <f>_xlfn.XLOOKUP(D24,Products!A:A,Products!C:C)</f>
        <v>Beauty</v>
      </c>
      <c r="N24" s="2" t="str">
        <f>_xlfn.XLOOKUP(D24,Products!A:A,Products!D:D)</f>
        <v>Nivea</v>
      </c>
      <c r="O24" s="2">
        <f>_xlfn.XLOOKUP(D24,Products!A:A,Products!E:E)</f>
        <v>180</v>
      </c>
      <c r="P24" s="2">
        <f>_xlfn.XLOOKUP(D24,Products!A:A,Products!F:F)</f>
        <v>350</v>
      </c>
      <c r="Q24" s="11">
        <f t="shared" si="0"/>
        <v>350</v>
      </c>
      <c r="R24" s="11">
        <f t="shared" si="1"/>
        <v>17.5</v>
      </c>
      <c r="S24" s="11">
        <f t="shared" si="2"/>
        <v>332.5</v>
      </c>
      <c r="T24" s="11">
        <f t="shared" si="3"/>
        <v>180</v>
      </c>
      <c r="U24" s="11">
        <f t="shared" si="4"/>
        <v>152.5</v>
      </c>
    </row>
    <row r="25" spans="1:21" x14ac:dyDescent="0.3">
      <c r="A25" s="2" t="s">
        <v>77</v>
      </c>
      <c r="B25" s="6">
        <v>46124</v>
      </c>
      <c r="C25" s="2" t="s">
        <v>54</v>
      </c>
      <c r="D25" s="2" t="s">
        <v>37</v>
      </c>
      <c r="E25" s="2" t="s">
        <v>38</v>
      </c>
      <c r="F25" s="2" t="s">
        <v>22</v>
      </c>
      <c r="G25" s="2" t="s">
        <v>16</v>
      </c>
      <c r="H25" s="11">
        <v>4</v>
      </c>
      <c r="I25" s="7">
        <v>0.11</v>
      </c>
      <c r="J25" s="11">
        <v>6</v>
      </c>
      <c r="K25" s="2" t="s">
        <v>30</v>
      </c>
      <c r="L25" s="2" t="str">
        <f>_xlfn.XLOOKUP(D25,Products!A:A,Products!B:B)</f>
        <v>Headphones</v>
      </c>
      <c r="M25" s="2" t="str">
        <f>_xlfn.XLOOKUP(D25,Products!A:A,Products!C:C)</f>
        <v>Electronics</v>
      </c>
      <c r="N25" s="2" t="str">
        <f>_xlfn.XLOOKUP(D25,Products!A:A,Products!D:D)</f>
        <v>Sony</v>
      </c>
      <c r="O25" s="2">
        <f>_xlfn.XLOOKUP(D25,Products!A:A,Products!E:E)</f>
        <v>1800</v>
      </c>
      <c r="P25" s="2">
        <f>_xlfn.XLOOKUP(D25,Products!A:A,Products!F:F)</f>
        <v>3200</v>
      </c>
      <c r="Q25" s="11">
        <f t="shared" si="0"/>
        <v>12800</v>
      </c>
      <c r="R25" s="11">
        <f t="shared" si="1"/>
        <v>1408</v>
      </c>
      <c r="S25" s="11">
        <f t="shared" si="2"/>
        <v>11392</v>
      </c>
      <c r="T25" s="11">
        <f t="shared" si="3"/>
        <v>7200</v>
      </c>
      <c r="U25" s="11">
        <f t="shared" si="4"/>
        <v>4192</v>
      </c>
    </row>
    <row r="26" spans="1:21" x14ac:dyDescent="0.3">
      <c r="A26" s="2" t="s">
        <v>78</v>
      </c>
      <c r="B26" s="6">
        <v>46125</v>
      </c>
      <c r="C26" s="2" t="s">
        <v>57</v>
      </c>
      <c r="D26" s="2" t="s">
        <v>40</v>
      </c>
      <c r="E26" s="2" t="s">
        <v>44</v>
      </c>
      <c r="F26" s="2" t="s">
        <v>15</v>
      </c>
      <c r="G26" s="2" t="s">
        <v>42</v>
      </c>
      <c r="H26" s="11">
        <v>2</v>
      </c>
      <c r="I26" s="7">
        <v>0.1</v>
      </c>
      <c r="J26" s="11">
        <v>3</v>
      </c>
      <c r="K26" s="2" t="s">
        <v>17</v>
      </c>
      <c r="L26" s="2" t="str">
        <f>_xlfn.XLOOKUP(D26,Products!A:A,Products!B:B)</f>
        <v>Office Chair</v>
      </c>
      <c r="M26" s="2" t="str">
        <f>_xlfn.XLOOKUP(D26,Products!A:A,Products!C:C)</f>
        <v>Furniture</v>
      </c>
      <c r="N26" s="2" t="str">
        <f>_xlfn.XLOOKUP(D26,Products!A:A,Products!D:D)</f>
        <v>Featherlite</v>
      </c>
      <c r="O26" s="2">
        <f>_xlfn.XLOOKUP(D26,Products!A:A,Products!E:E)</f>
        <v>4500</v>
      </c>
      <c r="P26" s="2">
        <f>_xlfn.XLOOKUP(D26,Products!A:A,Products!F:F)</f>
        <v>7500</v>
      </c>
      <c r="Q26" s="11">
        <f t="shared" si="0"/>
        <v>15000</v>
      </c>
      <c r="R26" s="11">
        <f t="shared" si="1"/>
        <v>1500</v>
      </c>
      <c r="S26" s="11">
        <f t="shared" si="2"/>
        <v>13500</v>
      </c>
      <c r="T26" s="11">
        <f t="shared" si="3"/>
        <v>9000</v>
      </c>
      <c r="U26" s="11">
        <f t="shared" si="4"/>
        <v>4500</v>
      </c>
    </row>
    <row r="27" spans="1:21" x14ac:dyDescent="0.3">
      <c r="A27" s="2" t="s">
        <v>79</v>
      </c>
      <c r="B27" s="6">
        <v>46125</v>
      </c>
      <c r="C27" s="2" t="s">
        <v>60</v>
      </c>
      <c r="D27" s="2" t="s">
        <v>47</v>
      </c>
      <c r="E27" s="2" t="s">
        <v>14</v>
      </c>
      <c r="F27" s="2" t="s">
        <v>52</v>
      </c>
      <c r="G27" s="2" t="s">
        <v>16</v>
      </c>
      <c r="H27" s="11">
        <v>3</v>
      </c>
      <c r="I27" s="7">
        <v>0.08</v>
      </c>
      <c r="J27" s="11">
        <v>5</v>
      </c>
      <c r="K27" s="2" t="s">
        <v>17</v>
      </c>
      <c r="L27" s="2" t="str">
        <f>_xlfn.XLOOKUP(D27,Products!A:A,Products!B:B)</f>
        <v>Mixer Grinder</v>
      </c>
      <c r="M27" s="2" t="str">
        <f>_xlfn.XLOOKUP(D27,Products!A:A,Products!C:C)</f>
        <v>Home Appliances</v>
      </c>
      <c r="N27" s="2" t="str">
        <f>_xlfn.XLOOKUP(D27,Products!A:A,Products!D:D)</f>
        <v>Philips</v>
      </c>
      <c r="O27" s="2">
        <f>_xlfn.XLOOKUP(D27,Products!A:A,Products!E:E)</f>
        <v>2800</v>
      </c>
      <c r="P27" s="2">
        <f>_xlfn.XLOOKUP(D27,Products!A:A,Products!F:F)</f>
        <v>4800</v>
      </c>
      <c r="Q27" s="11">
        <f t="shared" si="0"/>
        <v>14400</v>
      </c>
      <c r="R27" s="11">
        <f t="shared" si="1"/>
        <v>1152</v>
      </c>
      <c r="S27" s="11">
        <f t="shared" si="2"/>
        <v>13248</v>
      </c>
      <c r="T27" s="11">
        <f t="shared" si="3"/>
        <v>8400</v>
      </c>
      <c r="U27" s="11">
        <f t="shared" si="4"/>
        <v>4848</v>
      </c>
    </row>
    <row r="28" spans="1:21" x14ac:dyDescent="0.3">
      <c r="A28" s="2" t="s">
        <v>80</v>
      </c>
      <c r="B28" s="6">
        <v>46126</v>
      </c>
      <c r="C28" s="2" t="s">
        <v>62</v>
      </c>
      <c r="D28" s="2" t="s">
        <v>43</v>
      </c>
      <c r="E28" s="2" t="s">
        <v>27</v>
      </c>
      <c r="F28" s="2" t="s">
        <v>22</v>
      </c>
      <c r="G28" s="2" t="s">
        <v>23</v>
      </c>
      <c r="H28" s="11">
        <v>2</v>
      </c>
      <c r="I28" s="7">
        <v>0.05</v>
      </c>
      <c r="J28" s="11">
        <v>2</v>
      </c>
      <c r="K28" s="2" t="s">
        <v>17</v>
      </c>
      <c r="L28" s="2" t="str">
        <f>_xlfn.XLOOKUP(D28,Products!A:A,Products!B:B)</f>
        <v>Smartphone</v>
      </c>
      <c r="M28" s="2" t="str">
        <f>_xlfn.XLOOKUP(D28,Products!A:A,Products!C:C)</f>
        <v>Electronics</v>
      </c>
      <c r="N28" s="2" t="str">
        <f>_xlfn.XLOOKUP(D28,Products!A:A,Products!D:D)</f>
        <v>Samsung</v>
      </c>
      <c r="O28" s="2">
        <f>_xlfn.XLOOKUP(D28,Products!A:A,Products!E:E)</f>
        <v>14000</v>
      </c>
      <c r="P28" s="2">
        <f>_xlfn.XLOOKUP(D28,Products!A:A,Products!F:F)</f>
        <v>22000</v>
      </c>
      <c r="Q28" s="11">
        <f t="shared" si="0"/>
        <v>44000</v>
      </c>
      <c r="R28" s="11">
        <f t="shared" si="1"/>
        <v>2200</v>
      </c>
      <c r="S28" s="11">
        <f t="shared" si="2"/>
        <v>41800</v>
      </c>
      <c r="T28" s="11">
        <f t="shared" si="3"/>
        <v>28000</v>
      </c>
      <c r="U28" s="11">
        <f t="shared" si="4"/>
        <v>13800</v>
      </c>
    </row>
    <row r="29" spans="1:21" x14ac:dyDescent="0.3">
      <c r="A29" s="2" t="s">
        <v>81</v>
      </c>
      <c r="B29" s="6">
        <v>46126</v>
      </c>
      <c r="C29" s="2" t="s">
        <v>64</v>
      </c>
      <c r="D29" s="2" t="s">
        <v>51</v>
      </c>
      <c r="E29" s="2" t="s">
        <v>21</v>
      </c>
      <c r="F29" s="2" t="s">
        <v>15</v>
      </c>
      <c r="G29" s="2" t="s">
        <v>29</v>
      </c>
      <c r="H29" s="11">
        <v>1</v>
      </c>
      <c r="I29" s="7">
        <v>0.06</v>
      </c>
      <c r="J29" s="11">
        <v>8</v>
      </c>
      <c r="K29" s="2" t="s">
        <v>48</v>
      </c>
      <c r="L29" s="2" t="str">
        <f>_xlfn.XLOOKUP(D29,Products!A:A,Products!B:B)</f>
        <v>Shirt</v>
      </c>
      <c r="M29" s="2" t="str">
        <f>_xlfn.XLOOKUP(D29,Products!A:A,Products!C:C)</f>
        <v>Clothing</v>
      </c>
      <c r="N29" s="2" t="str">
        <f>_xlfn.XLOOKUP(D29,Products!A:A,Products!D:D)</f>
        <v>Levis</v>
      </c>
      <c r="O29" s="2">
        <f>_xlfn.XLOOKUP(D29,Products!A:A,Products!E:E)</f>
        <v>700</v>
      </c>
      <c r="P29" s="2">
        <f>_xlfn.XLOOKUP(D29,Products!A:A,Products!F:F)</f>
        <v>1500</v>
      </c>
      <c r="Q29" s="11">
        <f t="shared" si="0"/>
        <v>1500</v>
      </c>
      <c r="R29" s="11">
        <f t="shared" si="1"/>
        <v>90</v>
      </c>
      <c r="S29" s="11">
        <f t="shared" si="2"/>
        <v>1410</v>
      </c>
      <c r="T29" s="11">
        <f t="shared" si="3"/>
        <v>700</v>
      </c>
      <c r="U29" s="11">
        <f t="shared" si="4"/>
        <v>710</v>
      </c>
    </row>
    <row r="30" spans="1:21" x14ac:dyDescent="0.3">
      <c r="A30" s="2" t="s">
        <v>82</v>
      </c>
      <c r="B30" s="6">
        <v>46127</v>
      </c>
      <c r="C30" s="2" t="s">
        <v>66</v>
      </c>
      <c r="D30" s="2" t="s">
        <v>55</v>
      </c>
      <c r="E30" s="2" t="s">
        <v>38</v>
      </c>
      <c r="F30" s="2" t="s">
        <v>39</v>
      </c>
      <c r="G30" s="2" t="s">
        <v>16</v>
      </c>
      <c r="H30" s="11">
        <v>5</v>
      </c>
      <c r="I30" s="7">
        <v>0.12</v>
      </c>
      <c r="J30" s="11">
        <v>4</v>
      </c>
      <c r="K30" s="2" t="s">
        <v>17</v>
      </c>
      <c r="L30" s="2" t="str">
        <f>_xlfn.XLOOKUP(D30,Products!A:A,Products!B:B)</f>
        <v>Sports Shoes</v>
      </c>
      <c r="M30" s="2" t="str">
        <f>_xlfn.XLOOKUP(D30,Products!A:A,Products!C:C)</f>
        <v>Sports</v>
      </c>
      <c r="N30" s="2" t="str">
        <f>_xlfn.XLOOKUP(D30,Products!A:A,Products!D:D)</f>
        <v>Nike</v>
      </c>
      <c r="O30" s="2">
        <f>_xlfn.XLOOKUP(D30,Products!A:A,Products!E:E)</f>
        <v>2200</v>
      </c>
      <c r="P30" s="2">
        <f>_xlfn.XLOOKUP(D30,Products!A:A,Products!F:F)</f>
        <v>4500</v>
      </c>
      <c r="Q30" s="11">
        <f t="shared" si="0"/>
        <v>22500</v>
      </c>
      <c r="R30" s="11">
        <f t="shared" si="1"/>
        <v>2700</v>
      </c>
      <c r="S30" s="11">
        <f t="shared" si="2"/>
        <v>19800</v>
      </c>
      <c r="T30" s="11">
        <f t="shared" si="3"/>
        <v>11000</v>
      </c>
      <c r="U30" s="11">
        <f t="shared" si="4"/>
        <v>8800</v>
      </c>
    </row>
    <row r="31" spans="1:21" x14ac:dyDescent="0.3">
      <c r="A31" s="2" t="s">
        <v>83</v>
      </c>
      <c r="B31" s="6">
        <v>46127</v>
      </c>
      <c r="C31" s="2" t="s">
        <v>68</v>
      </c>
      <c r="D31" s="2" t="s">
        <v>58</v>
      </c>
      <c r="E31" s="2" t="s">
        <v>44</v>
      </c>
      <c r="F31" s="2" t="s">
        <v>41</v>
      </c>
      <c r="G31" s="2" t="s">
        <v>23</v>
      </c>
      <c r="H31" s="11">
        <v>2</v>
      </c>
      <c r="I31" s="7">
        <v>7.0000000000000007E-2</v>
      </c>
      <c r="J31" s="11">
        <v>3</v>
      </c>
      <c r="K31" s="2" t="s">
        <v>17</v>
      </c>
      <c r="L31" s="2" t="str">
        <f>_xlfn.XLOOKUP(D31,Products!A:A,Products!B:B)</f>
        <v>Study Table</v>
      </c>
      <c r="M31" s="2" t="str">
        <f>_xlfn.XLOOKUP(D31,Products!A:A,Products!C:C)</f>
        <v>Furniture</v>
      </c>
      <c r="N31" s="2" t="str">
        <f>_xlfn.XLOOKUP(D31,Products!A:A,Products!D:D)</f>
        <v>Ikea</v>
      </c>
      <c r="O31" s="2">
        <f>_xlfn.XLOOKUP(D31,Products!A:A,Products!E:E)</f>
        <v>5000</v>
      </c>
      <c r="P31" s="2">
        <f>_xlfn.XLOOKUP(D31,Products!A:A,Products!F:F)</f>
        <v>8500</v>
      </c>
      <c r="Q31" s="11">
        <f t="shared" si="0"/>
        <v>17000</v>
      </c>
      <c r="R31" s="11">
        <f t="shared" si="1"/>
        <v>1190</v>
      </c>
      <c r="S31" s="11">
        <f t="shared" si="2"/>
        <v>15810</v>
      </c>
      <c r="T31" s="11">
        <f t="shared" si="3"/>
        <v>10000</v>
      </c>
      <c r="U31" s="11">
        <f t="shared" si="4"/>
        <v>5810</v>
      </c>
    </row>
    <row r="32" spans="1:21" x14ac:dyDescent="0.3">
      <c r="A32" s="2" t="s">
        <v>84</v>
      </c>
      <c r="B32" s="6">
        <v>46128</v>
      </c>
      <c r="C32" s="2" t="s">
        <v>12</v>
      </c>
      <c r="D32" s="2" t="s">
        <v>13</v>
      </c>
      <c r="E32" s="2" t="s">
        <v>14</v>
      </c>
      <c r="F32" s="2" t="s">
        <v>15</v>
      </c>
      <c r="G32" s="2" t="s">
        <v>16</v>
      </c>
      <c r="H32" s="11">
        <v>3</v>
      </c>
      <c r="I32" s="7">
        <v>0.05</v>
      </c>
      <c r="J32" s="11">
        <v>2</v>
      </c>
      <c r="K32" s="2" t="s">
        <v>17</v>
      </c>
      <c r="L32" s="2" t="str">
        <f>_xlfn.XLOOKUP(D32,Products!A:A,Products!B:B)</f>
        <v>Laptop</v>
      </c>
      <c r="M32" s="2" t="str">
        <f>_xlfn.XLOOKUP(D32,Products!A:A,Products!C:C)</f>
        <v>Electronics</v>
      </c>
      <c r="N32" s="2" t="str">
        <f>_xlfn.XLOOKUP(D32,Products!A:A,Products!D:D)</f>
        <v>HP</v>
      </c>
      <c r="O32" s="2">
        <f>_xlfn.XLOOKUP(D32,Products!A:A,Products!E:E)</f>
        <v>42000</v>
      </c>
      <c r="P32" s="2">
        <f>_xlfn.XLOOKUP(D32,Products!A:A,Products!F:F)</f>
        <v>55000</v>
      </c>
      <c r="Q32" s="11">
        <f t="shared" si="0"/>
        <v>165000</v>
      </c>
      <c r="R32" s="11">
        <f t="shared" si="1"/>
        <v>8250</v>
      </c>
      <c r="S32" s="11">
        <f t="shared" si="2"/>
        <v>156750</v>
      </c>
      <c r="T32" s="11">
        <f t="shared" si="3"/>
        <v>126000</v>
      </c>
      <c r="U32" s="11">
        <f t="shared" si="4"/>
        <v>30750</v>
      </c>
    </row>
    <row r="33" spans="1:21" x14ac:dyDescent="0.3">
      <c r="A33" s="2" t="s">
        <v>85</v>
      </c>
      <c r="B33" s="6">
        <v>46128</v>
      </c>
      <c r="C33" s="2" t="s">
        <v>19</v>
      </c>
      <c r="D33" s="2" t="s">
        <v>37</v>
      </c>
      <c r="E33" s="2" t="s">
        <v>27</v>
      </c>
      <c r="F33" s="2" t="s">
        <v>22</v>
      </c>
      <c r="G33" s="2" t="s">
        <v>29</v>
      </c>
      <c r="H33" s="11">
        <v>2</v>
      </c>
      <c r="I33" s="7">
        <v>0.09</v>
      </c>
      <c r="J33" s="11">
        <v>6</v>
      </c>
      <c r="K33" s="2" t="s">
        <v>30</v>
      </c>
      <c r="L33" s="2" t="str">
        <f>_xlfn.XLOOKUP(D33,Products!A:A,Products!B:B)</f>
        <v>Headphones</v>
      </c>
      <c r="M33" s="2" t="str">
        <f>_xlfn.XLOOKUP(D33,Products!A:A,Products!C:C)</f>
        <v>Electronics</v>
      </c>
      <c r="N33" s="2" t="str">
        <f>_xlfn.XLOOKUP(D33,Products!A:A,Products!D:D)</f>
        <v>Sony</v>
      </c>
      <c r="O33" s="2">
        <f>_xlfn.XLOOKUP(D33,Products!A:A,Products!E:E)</f>
        <v>1800</v>
      </c>
      <c r="P33" s="2">
        <f>_xlfn.XLOOKUP(D33,Products!A:A,Products!F:F)</f>
        <v>3200</v>
      </c>
      <c r="Q33" s="11">
        <f t="shared" si="0"/>
        <v>6400</v>
      </c>
      <c r="R33" s="11">
        <f t="shared" si="1"/>
        <v>576</v>
      </c>
      <c r="S33" s="11">
        <f t="shared" si="2"/>
        <v>5824</v>
      </c>
      <c r="T33" s="11">
        <f t="shared" si="3"/>
        <v>3600</v>
      </c>
      <c r="U33" s="11">
        <f t="shared" si="4"/>
        <v>2224</v>
      </c>
    </row>
    <row r="34" spans="1:21" x14ac:dyDescent="0.3">
      <c r="A34" s="2" t="s">
        <v>86</v>
      </c>
      <c r="B34" s="6">
        <v>46129</v>
      </c>
      <c r="C34" s="2" t="s">
        <v>25</v>
      </c>
      <c r="D34" s="2" t="s">
        <v>20</v>
      </c>
      <c r="E34" s="2" t="s">
        <v>21</v>
      </c>
      <c r="F34" s="2" t="s">
        <v>39</v>
      </c>
      <c r="G34" s="2" t="s">
        <v>23</v>
      </c>
      <c r="H34" s="11">
        <v>4</v>
      </c>
      <c r="I34" s="7">
        <v>0.1</v>
      </c>
      <c r="J34" s="11">
        <v>4</v>
      </c>
      <c r="K34" s="2" t="s">
        <v>17</v>
      </c>
      <c r="L34" s="2" t="str">
        <f>_xlfn.XLOOKUP(D34,Products!A:A,Products!B:B)</f>
        <v>Jeans</v>
      </c>
      <c r="M34" s="2" t="str">
        <f>_xlfn.XLOOKUP(D34,Products!A:A,Products!C:C)</f>
        <v>Clothing</v>
      </c>
      <c r="N34" s="2" t="str">
        <f>_xlfn.XLOOKUP(D34,Products!A:A,Products!D:D)</f>
        <v>Wrangler</v>
      </c>
      <c r="O34" s="2">
        <f>_xlfn.XLOOKUP(D34,Products!A:A,Products!E:E)</f>
        <v>1100</v>
      </c>
      <c r="P34" s="2">
        <f>_xlfn.XLOOKUP(D34,Products!A:A,Products!F:F)</f>
        <v>2200</v>
      </c>
      <c r="Q34" s="11">
        <f t="shared" si="0"/>
        <v>8800</v>
      </c>
      <c r="R34" s="11">
        <f t="shared" si="1"/>
        <v>880</v>
      </c>
      <c r="S34" s="11">
        <f t="shared" si="2"/>
        <v>7920</v>
      </c>
      <c r="T34" s="11">
        <f t="shared" si="3"/>
        <v>4400</v>
      </c>
      <c r="U34" s="11">
        <f t="shared" si="4"/>
        <v>3520</v>
      </c>
    </row>
    <row r="35" spans="1:21" x14ac:dyDescent="0.3">
      <c r="A35" s="2" t="s">
        <v>87</v>
      </c>
      <c r="B35" s="6">
        <v>46129</v>
      </c>
      <c r="C35" s="2" t="s">
        <v>32</v>
      </c>
      <c r="D35" s="2" t="s">
        <v>40</v>
      </c>
      <c r="E35" s="2" t="s">
        <v>38</v>
      </c>
      <c r="F35" s="2" t="s">
        <v>15</v>
      </c>
      <c r="G35" s="2" t="s">
        <v>16</v>
      </c>
      <c r="H35" s="11">
        <v>1</v>
      </c>
      <c r="I35" s="7">
        <v>0.05</v>
      </c>
      <c r="J35" s="11">
        <v>3</v>
      </c>
      <c r="K35" s="2" t="s">
        <v>17</v>
      </c>
      <c r="L35" s="2" t="str">
        <f>_xlfn.XLOOKUP(D35,Products!A:A,Products!B:B)</f>
        <v>Office Chair</v>
      </c>
      <c r="M35" s="2" t="str">
        <f>_xlfn.XLOOKUP(D35,Products!A:A,Products!C:C)</f>
        <v>Furniture</v>
      </c>
      <c r="N35" s="2" t="str">
        <f>_xlfn.XLOOKUP(D35,Products!A:A,Products!D:D)</f>
        <v>Featherlite</v>
      </c>
      <c r="O35" s="2">
        <f>_xlfn.XLOOKUP(D35,Products!A:A,Products!E:E)</f>
        <v>4500</v>
      </c>
      <c r="P35" s="2">
        <f>_xlfn.XLOOKUP(D35,Products!A:A,Products!F:F)</f>
        <v>7500</v>
      </c>
      <c r="Q35" s="11">
        <f t="shared" si="0"/>
        <v>7500</v>
      </c>
      <c r="R35" s="11">
        <f t="shared" si="1"/>
        <v>375</v>
      </c>
      <c r="S35" s="11">
        <f t="shared" si="2"/>
        <v>7125</v>
      </c>
      <c r="T35" s="11">
        <f t="shared" si="3"/>
        <v>4500</v>
      </c>
      <c r="U35" s="11">
        <f t="shared" si="4"/>
        <v>2625</v>
      </c>
    </row>
    <row r="36" spans="1:21" x14ac:dyDescent="0.3">
      <c r="A36" s="2" t="s">
        <v>88</v>
      </c>
      <c r="B36" s="6">
        <v>46130</v>
      </c>
      <c r="C36" s="2" t="s">
        <v>34</v>
      </c>
      <c r="D36" s="2" t="s">
        <v>26</v>
      </c>
      <c r="E36" s="2" t="s">
        <v>44</v>
      </c>
      <c r="F36" s="2" t="s">
        <v>22</v>
      </c>
      <c r="G36" s="2" t="s">
        <v>42</v>
      </c>
      <c r="H36" s="11">
        <v>2</v>
      </c>
      <c r="I36" s="7">
        <v>0.08</v>
      </c>
      <c r="J36" s="11">
        <v>5</v>
      </c>
      <c r="K36" s="2" t="s">
        <v>17</v>
      </c>
      <c r="L36" s="2" t="str">
        <f>_xlfn.XLOOKUP(D36,Products!A:A,Products!B:B)</f>
        <v>Face Wash</v>
      </c>
      <c r="M36" s="2" t="str">
        <f>_xlfn.XLOOKUP(D36,Products!A:A,Products!C:C)</f>
        <v>Beauty</v>
      </c>
      <c r="N36" s="2" t="str">
        <f>_xlfn.XLOOKUP(D36,Products!A:A,Products!D:D)</f>
        <v>Nivea</v>
      </c>
      <c r="O36" s="2">
        <f>_xlfn.XLOOKUP(D36,Products!A:A,Products!E:E)</f>
        <v>180</v>
      </c>
      <c r="P36" s="2">
        <f>_xlfn.XLOOKUP(D36,Products!A:A,Products!F:F)</f>
        <v>350</v>
      </c>
      <c r="Q36" s="11">
        <f t="shared" si="0"/>
        <v>700</v>
      </c>
      <c r="R36" s="11">
        <f t="shared" si="1"/>
        <v>56</v>
      </c>
      <c r="S36" s="11">
        <f t="shared" si="2"/>
        <v>644</v>
      </c>
      <c r="T36" s="11">
        <f t="shared" si="3"/>
        <v>360</v>
      </c>
      <c r="U36" s="11">
        <f t="shared" si="4"/>
        <v>284</v>
      </c>
    </row>
    <row r="37" spans="1:21" x14ac:dyDescent="0.3">
      <c r="A37" s="2" t="s">
        <v>89</v>
      </c>
      <c r="B37" s="6">
        <v>46130</v>
      </c>
      <c r="C37" s="2" t="s">
        <v>36</v>
      </c>
      <c r="D37" s="2" t="s">
        <v>47</v>
      </c>
      <c r="E37" s="2" t="s">
        <v>14</v>
      </c>
      <c r="F37" s="2" t="s">
        <v>41</v>
      </c>
      <c r="G37" s="2" t="s">
        <v>23</v>
      </c>
      <c r="H37" s="11">
        <v>3</v>
      </c>
      <c r="I37" s="7">
        <v>0.06</v>
      </c>
      <c r="J37" s="11">
        <v>7</v>
      </c>
      <c r="K37" s="2" t="s">
        <v>17</v>
      </c>
      <c r="L37" s="2" t="str">
        <f>_xlfn.XLOOKUP(D37,Products!A:A,Products!B:B)</f>
        <v>Mixer Grinder</v>
      </c>
      <c r="M37" s="2" t="str">
        <f>_xlfn.XLOOKUP(D37,Products!A:A,Products!C:C)</f>
        <v>Home Appliances</v>
      </c>
      <c r="N37" s="2" t="str">
        <f>_xlfn.XLOOKUP(D37,Products!A:A,Products!D:D)</f>
        <v>Philips</v>
      </c>
      <c r="O37" s="2">
        <f>_xlfn.XLOOKUP(D37,Products!A:A,Products!E:E)</f>
        <v>2800</v>
      </c>
      <c r="P37" s="2">
        <f>_xlfn.XLOOKUP(D37,Products!A:A,Products!F:F)</f>
        <v>4800</v>
      </c>
      <c r="Q37" s="11">
        <f t="shared" si="0"/>
        <v>14400</v>
      </c>
      <c r="R37" s="11">
        <f t="shared" si="1"/>
        <v>864</v>
      </c>
      <c r="S37" s="11">
        <f t="shared" si="2"/>
        <v>13536</v>
      </c>
      <c r="T37" s="11">
        <f t="shared" si="3"/>
        <v>8400</v>
      </c>
      <c r="U37" s="11">
        <f t="shared" si="4"/>
        <v>5136</v>
      </c>
    </row>
    <row r="38" spans="1:21" x14ac:dyDescent="0.3">
      <c r="A38" s="2" t="s">
        <v>90</v>
      </c>
      <c r="B38" s="6">
        <v>46131</v>
      </c>
      <c r="C38" s="2" t="s">
        <v>46</v>
      </c>
      <c r="D38" s="2" t="s">
        <v>43</v>
      </c>
      <c r="E38" s="2" t="s">
        <v>27</v>
      </c>
      <c r="F38" s="2" t="s">
        <v>15</v>
      </c>
      <c r="G38" s="2" t="s">
        <v>16</v>
      </c>
      <c r="H38" s="11">
        <v>1</v>
      </c>
      <c r="I38" s="7">
        <v>0.04</v>
      </c>
      <c r="J38" s="11">
        <v>2</v>
      </c>
      <c r="K38" s="2" t="s">
        <v>17</v>
      </c>
      <c r="L38" s="2" t="str">
        <f>_xlfn.XLOOKUP(D38,Products!A:A,Products!B:B)</f>
        <v>Smartphone</v>
      </c>
      <c r="M38" s="2" t="str">
        <f>_xlfn.XLOOKUP(D38,Products!A:A,Products!C:C)</f>
        <v>Electronics</v>
      </c>
      <c r="N38" s="2" t="str">
        <f>_xlfn.XLOOKUP(D38,Products!A:A,Products!D:D)</f>
        <v>Samsung</v>
      </c>
      <c r="O38" s="2">
        <f>_xlfn.XLOOKUP(D38,Products!A:A,Products!E:E)</f>
        <v>14000</v>
      </c>
      <c r="P38" s="2">
        <f>_xlfn.XLOOKUP(D38,Products!A:A,Products!F:F)</f>
        <v>22000</v>
      </c>
      <c r="Q38" s="11">
        <f t="shared" si="0"/>
        <v>22000</v>
      </c>
      <c r="R38" s="11">
        <f t="shared" si="1"/>
        <v>880</v>
      </c>
      <c r="S38" s="11">
        <f t="shared" si="2"/>
        <v>21120</v>
      </c>
      <c r="T38" s="11">
        <f t="shared" si="3"/>
        <v>14000</v>
      </c>
      <c r="U38" s="11">
        <f t="shared" si="4"/>
        <v>7120</v>
      </c>
    </row>
    <row r="39" spans="1:21" x14ac:dyDescent="0.3">
      <c r="A39" s="2" t="s">
        <v>91</v>
      </c>
      <c r="B39" s="6">
        <v>46131</v>
      </c>
      <c r="C39" s="2" t="s">
        <v>50</v>
      </c>
      <c r="D39" s="2" t="s">
        <v>51</v>
      </c>
      <c r="E39" s="2" t="s">
        <v>21</v>
      </c>
      <c r="F39" s="2" t="s">
        <v>52</v>
      </c>
      <c r="G39" s="2" t="s">
        <v>29</v>
      </c>
      <c r="H39" s="11">
        <v>2</v>
      </c>
      <c r="I39" s="7">
        <v>0.1</v>
      </c>
      <c r="J39" s="11">
        <v>9</v>
      </c>
      <c r="K39" s="2" t="s">
        <v>30</v>
      </c>
      <c r="L39" s="2" t="str">
        <f>_xlfn.XLOOKUP(D39,Products!A:A,Products!B:B)</f>
        <v>Shirt</v>
      </c>
      <c r="M39" s="2" t="str">
        <f>_xlfn.XLOOKUP(D39,Products!A:A,Products!C:C)</f>
        <v>Clothing</v>
      </c>
      <c r="N39" s="2" t="str">
        <f>_xlfn.XLOOKUP(D39,Products!A:A,Products!D:D)</f>
        <v>Levis</v>
      </c>
      <c r="O39" s="2">
        <f>_xlfn.XLOOKUP(D39,Products!A:A,Products!E:E)</f>
        <v>700</v>
      </c>
      <c r="P39" s="2">
        <f>_xlfn.XLOOKUP(D39,Products!A:A,Products!F:F)</f>
        <v>1500</v>
      </c>
      <c r="Q39" s="11">
        <f t="shared" si="0"/>
        <v>3000</v>
      </c>
      <c r="R39" s="11">
        <f t="shared" si="1"/>
        <v>300</v>
      </c>
      <c r="S39" s="11">
        <f t="shared" si="2"/>
        <v>2700</v>
      </c>
      <c r="T39" s="11">
        <f t="shared" si="3"/>
        <v>1400</v>
      </c>
      <c r="U39" s="11">
        <f t="shared" si="4"/>
        <v>1300</v>
      </c>
    </row>
    <row r="40" spans="1:21" x14ac:dyDescent="0.3">
      <c r="A40" s="2" t="s">
        <v>92</v>
      </c>
      <c r="B40" s="6">
        <v>46132</v>
      </c>
      <c r="C40" s="2" t="s">
        <v>54</v>
      </c>
      <c r="D40" s="2" t="s">
        <v>55</v>
      </c>
      <c r="E40" s="2" t="s">
        <v>38</v>
      </c>
      <c r="F40" s="2" t="s">
        <v>22</v>
      </c>
      <c r="G40" s="2" t="s">
        <v>16</v>
      </c>
      <c r="H40" s="11">
        <v>4</v>
      </c>
      <c r="I40" s="7">
        <v>0.12</v>
      </c>
      <c r="J40" s="11">
        <v>4</v>
      </c>
      <c r="K40" s="2" t="s">
        <v>17</v>
      </c>
      <c r="L40" s="2" t="str">
        <f>_xlfn.XLOOKUP(D40,Products!A:A,Products!B:B)</f>
        <v>Sports Shoes</v>
      </c>
      <c r="M40" s="2" t="str">
        <f>_xlfn.XLOOKUP(D40,Products!A:A,Products!C:C)</f>
        <v>Sports</v>
      </c>
      <c r="N40" s="2" t="str">
        <f>_xlfn.XLOOKUP(D40,Products!A:A,Products!D:D)</f>
        <v>Nike</v>
      </c>
      <c r="O40" s="2">
        <f>_xlfn.XLOOKUP(D40,Products!A:A,Products!E:E)</f>
        <v>2200</v>
      </c>
      <c r="P40" s="2">
        <f>_xlfn.XLOOKUP(D40,Products!A:A,Products!F:F)</f>
        <v>4500</v>
      </c>
      <c r="Q40" s="11">
        <f t="shared" si="0"/>
        <v>18000</v>
      </c>
      <c r="R40" s="11">
        <f t="shared" si="1"/>
        <v>2160</v>
      </c>
      <c r="S40" s="11">
        <f t="shared" si="2"/>
        <v>15840</v>
      </c>
      <c r="T40" s="11">
        <f t="shared" si="3"/>
        <v>8800</v>
      </c>
      <c r="U40" s="11">
        <f t="shared" si="4"/>
        <v>7040</v>
      </c>
    </row>
    <row r="41" spans="1:21" x14ac:dyDescent="0.3">
      <c r="A41" s="2" t="s">
        <v>93</v>
      </c>
      <c r="B41" s="6">
        <v>46132</v>
      </c>
      <c r="C41" s="2" t="s">
        <v>57</v>
      </c>
      <c r="D41" s="2" t="s">
        <v>58</v>
      </c>
      <c r="E41" s="2" t="s">
        <v>44</v>
      </c>
      <c r="F41" s="2" t="s">
        <v>15</v>
      </c>
      <c r="G41" s="2" t="s">
        <v>23</v>
      </c>
      <c r="H41" s="11">
        <v>3</v>
      </c>
      <c r="I41" s="7">
        <v>0.05</v>
      </c>
      <c r="J41" s="11">
        <v>3</v>
      </c>
      <c r="K41" s="2" t="s">
        <v>17</v>
      </c>
      <c r="L41" s="2" t="str">
        <f>_xlfn.XLOOKUP(D41,Products!A:A,Products!B:B)</f>
        <v>Study Table</v>
      </c>
      <c r="M41" s="2" t="str">
        <f>_xlfn.XLOOKUP(D41,Products!A:A,Products!C:C)</f>
        <v>Furniture</v>
      </c>
      <c r="N41" s="2" t="str">
        <f>_xlfn.XLOOKUP(D41,Products!A:A,Products!D:D)</f>
        <v>Ikea</v>
      </c>
      <c r="O41" s="2">
        <f>_xlfn.XLOOKUP(D41,Products!A:A,Products!E:E)</f>
        <v>5000</v>
      </c>
      <c r="P41" s="2">
        <f>_xlfn.XLOOKUP(D41,Products!A:A,Products!F:F)</f>
        <v>8500</v>
      </c>
      <c r="Q41" s="11">
        <f t="shared" si="0"/>
        <v>25500</v>
      </c>
      <c r="R41" s="11">
        <f t="shared" si="1"/>
        <v>1275</v>
      </c>
      <c r="S41" s="11">
        <f t="shared" si="2"/>
        <v>24225</v>
      </c>
      <c r="T41" s="11">
        <f t="shared" si="3"/>
        <v>15000</v>
      </c>
      <c r="U41" s="11">
        <f t="shared" si="4"/>
        <v>9225</v>
      </c>
    </row>
    <row r="42" spans="1:21" x14ac:dyDescent="0.3">
      <c r="A42" s="2" t="s">
        <v>94</v>
      </c>
      <c r="B42" s="6">
        <v>46133</v>
      </c>
      <c r="C42" s="2" t="s">
        <v>60</v>
      </c>
      <c r="D42" s="2" t="s">
        <v>13</v>
      </c>
      <c r="E42" s="2" t="s">
        <v>14</v>
      </c>
      <c r="F42" s="2" t="s">
        <v>39</v>
      </c>
      <c r="G42" s="2" t="s">
        <v>16</v>
      </c>
      <c r="H42" s="11">
        <v>2</v>
      </c>
      <c r="I42" s="7">
        <v>7.0000000000000007E-2</v>
      </c>
      <c r="J42" s="11">
        <v>2</v>
      </c>
      <c r="K42" s="2" t="s">
        <v>17</v>
      </c>
      <c r="L42" s="2" t="str">
        <f>_xlfn.XLOOKUP(D42,Products!A:A,Products!B:B)</f>
        <v>Laptop</v>
      </c>
      <c r="M42" s="2" t="str">
        <f>_xlfn.XLOOKUP(D42,Products!A:A,Products!C:C)</f>
        <v>Electronics</v>
      </c>
      <c r="N42" s="2" t="str">
        <f>_xlfn.XLOOKUP(D42,Products!A:A,Products!D:D)</f>
        <v>HP</v>
      </c>
      <c r="O42" s="2">
        <f>_xlfn.XLOOKUP(D42,Products!A:A,Products!E:E)</f>
        <v>42000</v>
      </c>
      <c r="P42" s="2">
        <f>_xlfn.XLOOKUP(D42,Products!A:A,Products!F:F)</f>
        <v>55000</v>
      </c>
      <c r="Q42" s="11">
        <f t="shared" si="0"/>
        <v>110000</v>
      </c>
      <c r="R42" s="11">
        <f t="shared" si="1"/>
        <v>7700.0000000000009</v>
      </c>
      <c r="S42" s="11">
        <f t="shared" si="2"/>
        <v>102300</v>
      </c>
      <c r="T42" s="11">
        <f t="shared" si="3"/>
        <v>84000</v>
      </c>
      <c r="U42" s="11">
        <f t="shared" si="4"/>
        <v>18300</v>
      </c>
    </row>
    <row r="43" spans="1:21" x14ac:dyDescent="0.3">
      <c r="A43" s="2" t="s">
        <v>95</v>
      </c>
      <c r="B43" s="6">
        <v>46133</v>
      </c>
      <c r="C43" s="2" t="s">
        <v>62</v>
      </c>
      <c r="D43" s="2" t="s">
        <v>20</v>
      </c>
      <c r="E43" s="2" t="s">
        <v>27</v>
      </c>
      <c r="F43" s="2" t="s">
        <v>15</v>
      </c>
      <c r="G43" s="2" t="s">
        <v>29</v>
      </c>
      <c r="H43" s="11">
        <v>5</v>
      </c>
      <c r="I43" s="7">
        <v>0.11</v>
      </c>
      <c r="J43" s="11">
        <v>6</v>
      </c>
      <c r="K43" s="2" t="s">
        <v>17</v>
      </c>
      <c r="L43" s="2" t="str">
        <f>_xlfn.XLOOKUP(D43,Products!A:A,Products!B:B)</f>
        <v>Jeans</v>
      </c>
      <c r="M43" s="2" t="str">
        <f>_xlfn.XLOOKUP(D43,Products!A:A,Products!C:C)</f>
        <v>Clothing</v>
      </c>
      <c r="N43" s="2" t="str">
        <f>_xlfn.XLOOKUP(D43,Products!A:A,Products!D:D)</f>
        <v>Wrangler</v>
      </c>
      <c r="O43" s="2">
        <f>_xlfn.XLOOKUP(D43,Products!A:A,Products!E:E)</f>
        <v>1100</v>
      </c>
      <c r="P43" s="2">
        <f>_xlfn.XLOOKUP(D43,Products!A:A,Products!F:F)</f>
        <v>2200</v>
      </c>
      <c r="Q43" s="11">
        <f t="shared" si="0"/>
        <v>11000</v>
      </c>
      <c r="R43" s="11">
        <f t="shared" si="1"/>
        <v>1210</v>
      </c>
      <c r="S43" s="11">
        <f t="shared" si="2"/>
        <v>9790</v>
      </c>
      <c r="T43" s="11">
        <f t="shared" si="3"/>
        <v>5500</v>
      </c>
      <c r="U43" s="11">
        <f t="shared" si="4"/>
        <v>4290</v>
      </c>
    </row>
    <row r="44" spans="1:21" x14ac:dyDescent="0.3">
      <c r="A44" s="2" t="s">
        <v>96</v>
      </c>
      <c r="B44" s="6">
        <v>46134</v>
      </c>
      <c r="C44" s="2" t="s">
        <v>64</v>
      </c>
      <c r="D44" s="2" t="s">
        <v>26</v>
      </c>
      <c r="E44" s="2" t="s">
        <v>21</v>
      </c>
      <c r="F44" s="2" t="s">
        <v>41</v>
      </c>
      <c r="G44" s="2" t="s">
        <v>23</v>
      </c>
      <c r="H44" s="11">
        <v>1</v>
      </c>
      <c r="I44" s="7">
        <v>0.05</v>
      </c>
      <c r="J44" s="11">
        <v>4</v>
      </c>
      <c r="K44" s="2" t="s">
        <v>17</v>
      </c>
      <c r="L44" s="2" t="str">
        <f>_xlfn.XLOOKUP(D44,Products!A:A,Products!B:B)</f>
        <v>Face Wash</v>
      </c>
      <c r="M44" s="2" t="str">
        <f>_xlfn.XLOOKUP(D44,Products!A:A,Products!C:C)</f>
        <v>Beauty</v>
      </c>
      <c r="N44" s="2" t="str">
        <f>_xlfn.XLOOKUP(D44,Products!A:A,Products!D:D)</f>
        <v>Nivea</v>
      </c>
      <c r="O44" s="2">
        <f>_xlfn.XLOOKUP(D44,Products!A:A,Products!E:E)</f>
        <v>180</v>
      </c>
      <c r="P44" s="2">
        <f>_xlfn.XLOOKUP(D44,Products!A:A,Products!F:F)</f>
        <v>350</v>
      </c>
      <c r="Q44" s="11">
        <f t="shared" si="0"/>
        <v>350</v>
      </c>
      <c r="R44" s="11">
        <f t="shared" si="1"/>
        <v>17.5</v>
      </c>
      <c r="S44" s="11">
        <f t="shared" si="2"/>
        <v>332.5</v>
      </c>
      <c r="T44" s="11">
        <f t="shared" si="3"/>
        <v>180</v>
      </c>
      <c r="U44" s="11">
        <f t="shared" si="4"/>
        <v>152.5</v>
      </c>
    </row>
    <row r="45" spans="1:21" x14ac:dyDescent="0.3">
      <c r="A45" s="2" t="s">
        <v>97</v>
      </c>
      <c r="B45" s="6">
        <v>46134</v>
      </c>
      <c r="C45" s="2" t="s">
        <v>66</v>
      </c>
      <c r="D45" s="2" t="s">
        <v>37</v>
      </c>
      <c r="E45" s="2" t="s">
        <v>38</v>
      </c>
      <c r="F45" s="2" t="s">
        <v>22</v>
      </c>
      <c r="G45" s="2" t="s">
        <v>16</v>
      </c>
      <c r="H45" s="11">
        <v>3</v>
      </c>
      <c r="I45" s="7">
        <v>0.08</v>
      </c>
      <c r="J45" s="11">
        <v>5</v>
      </c>
      <c r="K45" s="2" t="s">
        <v>30</v>
      </c>
      <c r="L45" s="2" t="str">
        <f>_xlfn.XLOOKUP(D45,Products!A:A,Products!B:B)</f>
        <v>Headphones</v>
      </c>
      <c r="M45" s="2" t="str">
        <f>_xlfn.XLOOKUP(D45,Products!A:A,Products!C:C)</f>
        <v>Electronics</v>
      </c>
      <c r="N45" s="2" t="str">
        <f>_xlfn.XLOOKUP(D45,Products!A:A,Products!D:D)</f>
        <v>Sony</v>
      </c>
      <c r="O45" s="2">
        <f>_xlfn.XLOOKUP(D45,Products!A:A,Products!E:E)</f>
        <v>1800</v>
      </c>
      <c r="P45" s="2">
        <f>_xlfn.XLOOKUP(D45,Products!A:A,Products!F:F)</f>
        <v>3200</v>
      </c>
      <c r="Q45" s="11">
        <f t="shared" si="0"/>
        <v>9600</v>
      </c>
      <c r="R45" s="11">
        <f t="shared" si="1"/>
        <v>768</v>
      </c>
      <c r="S45" s="11">
        <f t="shared" si="2"/>
        <v>8832</v>
      </c>
      <c r="T45" s="11">
        <f t="shared" si="3"/>
        <v>5400</v>
      </c>
      <c r="U45" s="11">
        <f t="shared" si="4"/>
        <v>3432</v>
      </c>
    </row>
    <row r="46" spans="1:21" x14ac:dyDescent="0.3">
      <c r="A46" s="2" t="s">
        <v>98</v>
      </c>
      <c r="B46" s="6">
        <v>46135</v>
      </c>
      <c r="C46" s="2" t="s">
        <v>68</v>
      </c>
      <c r="D46" s="2" t="s">
        <v>40</v>
      </c>
      <c r="E46" s="2" t="s">
        <v>44</v>
      </c>
      <c r="F46" s="2" t="s">
        <v>15</v>
      </c>
      <c r="G46" s="2" t="s">
        <v>42</v>
      </c>
      <c r="H46" s="11">
        <v>2</v>
      </c>
      <c r="I46" s="7">
        <v>0.1</v>
      </c>
      <c r="J46" s="11">
        <v>3</v>
      </c>
      <c r="K46" s="2" t="s">
        <v>17</v>
      </c>
      <c r="L46" s="2" t="str">
        <f>_xlfn.XLOOKUP(D46,Products!A:A,Products!B:B)</f>
        <v>Office Chair</v>
      </c>
      <c r="M46" s="2" t="str">
        <f>_xlfn.XLOOKUP(D46,Products!A:A,Products!C:C)</f>
        <v>Furniture</v>
      </c>
      <c r="N46" s="2" t="str">
        <f>_xlfn.XLOOKUP(D46,Products!A:A,Products!D:D)</f>
        <v>Featherlite</v>
      </c>
      <c r="O46" s="2">
        <f>_xlfn.XLOOKUP(D46,Products!A:A,Products!E:E)</f>
        <v>4500</v>
      </c>
      <c r="P46" s="2">
        <f>_xlfn.XLOOKUP(D46,Products!A:A,Products!F:F)</f>
        <v>7500</v>
      </c>
      <c r="Q46" s="11">
        <f t="shared" si="0"/>
        <v>15000</v>
      </c>
      <c r="R46" s="11">
        <f t="shared" si="1"/>
        <v>1500</v>
      </c>
      <c r="S46" s="11">
        <f t="shared" si="2"/>
        <v>13500</v>
      </c>
      <c r="T46" s="11">
        <f t="shared" si="3"/>
        <v>9000</v>
      </c>
      <c r="U46" s="11">
        <f t="shared" si="4"/>
        <v>4500</v>
      </c>
    </row>
    <row r="47" spans="1:21" x14ac:dyDescent="0.3">
      <c r="A47" s="2" t="s">
        <v>99</v>
      </c>
      <c r="B47" s="6">
        <v>46135</v>
      </c>
      <c r="C47" s="2" t="s">
        <v>12</v>
      </c>
      <c r="D47" s="2" t="s">
        <v>47</v>
      </c>
      <c r="E47" s="2" t="s">
        <v>14</v>
      </c>
      <c r="F47" s="2" t="s">
        <v>52</v>
      </c>
      <c r="G47" s="2" t="s">
        <v>16</v>
      </c>
      <c r="H47" s="11">
        <v>4</v>
      </c>
      <c r="I47" s="7">
        <v>0.06</v>
      </c>
      <c r="J47" s="11">
        <v>4</v>
      </c>
      <c r="K47" s="2" t="s">
        <v>17</v>
      </c>
      <c r="L47" s="2" t="str">
        <f>_xlfn.XLOOKUP(D47,Products!A:A,Products!B:B)</f>
        <v>Mixer Grinder</v>
      </c>
      <c r="M47" s="2" t="str">
        <f>_xlfn.XLOOKUP(D47,Products!A:A,Products!C:C)</f>
        <v>Home Appliances</v>
      </c>
      <c r="N47" s="2" t="str">
        <f>_xlfn.XLOOKUP(D47,Products!A:A,Products!D:D)</f>
        <v>Philips</v>
      </c>
      <c r="O47" s="2">
        <f>_xlfn.XLOOKUP(D47,Products!A:A,Products!E:E)</f>
        <v>2800</v>
      </c>
      <c r="P47" s="2">
        <f>_xlfn.XLOOKUP(D47,Products!A:A,Products!F:F)</f>
        <v>4800</v>
      </c>
      <c r="Q47" s="11">
        <f t="shared" si="0"/>
        <v>19200</v>
      </c>
      <c r="R47" s="11">
        <f t="shared" si="1"/>
        <v>1152</v>
      </c>
      <c r="S47" s="11">
        <f t="shared" si="2"/>
        <v>18048</v>
      </c>
      <c r="T47" s="11">
        <f t="shared" si="3"/>
        <v>11200</v>
      </c>
      <c r="U47" s="11">
        <f t="shared" si="4"/>
        <v>6848</v>
      </c>
    </row>
    <row r="48" spans="1:21" x14ac:dyDescent="0.3">
      <c r="A48" s="2" t="s">
        <v>100</v>
      </c>
      <c r="B48" s="6">
        <v>46136</v>
      </c>
      <c r="C48" s="2" t="s">
        <v>19</v>
      </c>
      <c r="D48" s="2" t="s">
        <v>43</v>
      </c>
      <c r="E48" s="2" t="s">
        <v>27</v>
      </c>
      <c r="F48" s="2" t="s">
        <v>22</v>
      </c>
      <c r="G48" s="2" t="s">
        <v>23</v>
      </c>
      <c r="H48" s="11">
        <v>2</v>
      </c>
      <c r="I48" s="7">
        <v>0.05</v>
      </c>
      <c r="J48" s="11">
        <v>2</v>
      </c>
      <c r="K48" s="2" t="s">
        <v>17</v>
      </c>
      <c r="L48" s="2" t="str">
        <f>_xlfn.XLOOKUP(D48,Products!A:A,Products!B:B)</f>
        <v>Smartphone</v>
      </c>
      <c r="M48" s="2" t="str">
        <f>_xlfn.XLOOKUP(D48,Products!A:A,Products!C:C)</f>
        <v>Electronics</v>
      </c>
      <c r="N48" s="2" t="str">
        <f>_xlfn.XLOOKUP(D48,Products!A:A,Products!D:D)</f>
        <v>Samsung</v>
      </c>
      <c r="O48" s="2">
        <f>_xlfn.XLOOKUP(D48,Products!A:A,Products!E:E)</f>
        <v>14000</v>
      </c>
      <c r="P48" s="2">
        <f>_xlfn.XLOOKUP(D48,Products!A:A,Products!F:F)</f>
        <v>22000</v>
      </c>
      <c r="Q48" s="11">
        <f t="shared" si="0"/>
        <v>44000</v>
      </c>
      <c r="R48" s="11">
        <f t="shared" si="1"/>
        <v>2200</v>
      </c>
      <c r="S48" s="11">
        <f t="shared" si="2"/>
        <v>41800</v>
      </c>
      <c r="T48" s="11">
        <f t="shared" si="3"/>
        <v>28000</v>
      </c>
      <c r="U48" s="11">
        <f t="shared" si="4"/>
        <v>13800</v>
      </c>
    </row>
    <row r="49" spans="1:21" x14ac:dyDescent="0.3">
      <c r="A49" s="2" t="s">
        <v>101</v>
      </c>
      <c r="B49" s="6">
        <v>46136</v>
      </c>
      <c r="C49" s="2" t="s">
        <v>25</v>
      </c>
      <c r="D49" s="2" t="s">
        <v>51</v>
      </c>
      <c r="E49" s="2" t="s">
        <v>21</v>
      </c>
      <c r="F49" s="2" t="s">
        <v>15</v>
      </c>
      <c r="G49" s="2" t="s">
        <v>29</v>
      </c>
      <c r="H49" s="11">
        <v>3</v>
      </c>
      <c r="I49" s="7">
        <v>0.09</v>
      </c>
      <c r="J49" s="11">
        <v>7</v>
      </c>
      <c r="K49" s="2" t="s">
        <v>17</v>
      </c>
      <c r="L49" s="2" t="str">
        <f>_xlfn.XLOOKUP(D49,Products!A:A,Products!B:B)</f>
        <v>Shirt</v>
      </c>
      <c r="M49" s="2" t="str">
        <f>_xlfn.XLOOKUP(D49,Products!A:A,Products!C:C)</f>
        <v>Clothing</v>
      </c>
      <c r="N49" s="2" t="str">
        <f>_xlfn.XLOOKUP(D49,Products!A:A,Products!D:D)</f>
        <v>Levis</v>
      </c>
      <c r="O49" s="2">
        <f>_xlfn.XLOOKUP(D49,Products!A:A,Products!E:E)</f>
        <v>700</v>
      </c>
      <c r="P49" s="2">
        <f>_xlfn.XLOOKUP(D49,Products!A:A,Products!F:F)</f>
        <v>1500</v>
      </c>
      <c r="Q49" s="11">
        <f t="shared" si="0"/>
        <v>4500</v>
      </c>
      <c r="R49" s="11">
        <f t="shared" si="1"/>
        <v>405</v>
      </c>
      <c r="S49" s="11">
        <f t="shared" si="2"/>
        <v>4095</v>
      </c>
      <c r="T49" s="11">
        <f t="shared" si="3"/>
        <v>2100</v>
      </c>
      <c r="U49" s="11">
        <f t="shared" si="4"/>
        <v>1995</v>
      </c>
    </row>
    <row r="50" spans="1:21" x14ac:dyDescent="0.3">
      <c r="A50" s="2" t="s">
        <v>102</v>
      </c>
      <c r="B50" s="6">
        <v>46137</v>
      </c>
      <c r="C50" s="2" t="s">
        <v>32</v>
      </c>
      <c r="D50" s="2" t="s">
        <v>55</v>
      </c>
      <c r="E50" s="2" t="s">
        <v>38</v>
      </c>
      <c r="F50" s="2" t="s">
        <v>39</v>
      </c>
      <c r="G50" s="2" t="s">
        <v>16</v>
      </c>
      <c r="H50" s="11">
        <v>1</v>
      </c>
      <c r="I50" s="7">
        <v>0.04</v>
      </c>
      <c r="J50" s="11">
        <v>3</v>
      </c>
      <c r="K50" s="2" t="s">
        <v>17</v>
      </c>
      <c r="L50" s="2" t="str">
        <f>_xlfn.XLOOKUP(D50,Products!A:A,Products!B:B)</f>
        <v>Sports Shoes</v>
      </c>
      <c r="M50" s="2" t="str">
        <f>_xlfn.XLOOKUP(D50,Products!A:A,Products!C:C)</f>
        <v>Sports</v>
      </c>
      <c r="N50" s="2" t="str">
        <f>_xlfn.XLOOKUP(D50,Products!A:A,Products!D:D)</f>
        <v>Nike</v>
      </c>
      <c r="O50" s="2">
        <f>_xlfn.XLOOKUP(D50,Products!A:A,Products!E:E)</f>
        <v>2200</v>
      </c>
      <c r="P50" s="2">
        <f>_xlfn.XLOOKUP(D50,Products!A:A,Products!F:F)</f>
        <v>4500</v>
      </c>
      <c r="Q50" s="11">
        <f t="shared" si="0"/>
        <v>4500</v>
      </c>
      <c r="R50" s="11">
        <f t="shared" si="1"/>
        <v>180</v>
      </c>
      <c r="S50" s="11">
        <f t="shared" si="2"/>
        <v>4320</v>
      </c>
      <c r="T50" s="11">
        <f t="shared" si="3"/>
        <v>2200</v>
      </c>
      <c r="U50" s="11">
        <f t="shared" si="4"/>
        <v>2120</v>
      </c>
    </row>
    <row r="51" spans="1:21" x14ac:dyDescent="0.3">
      <c r="A51" s="2" t="s">
        <v>103</v>
      </c>
      <c r="B51" s="6">
        <v>46137</v>
      </c>
      <c r="C51" s="2" t="s">
        <v>34</v>
      </c>
      <c r="D51" s="2" t="s">
        <v>58</v>
      </c>
      <c r="E51" s="2" t="s">
        <v>44</v>
      </c>
      <c r="F51" s="2" t="s">
        <v>41</v>
      </c>
      <c r="G51" s="2" t="s">
        <v>23</v>
      </c>
      <c r="H51" s="11">
        <v>5</v>
      </c>
      <c r="I51" s="7">
        <v>0.13</v>
      </c>
      <c r="J51" s="11">
        <v>8</v>
      </c>
      <c r="K51" s="2" t="s">
        <v>30</v>
      </c>
      <c r="L51" s="2" t="str">
        <f>_xlfn.XLOOKUP(D51,Products!A:A,Products!B:B)</f>
        <v>Study Table</v>
      </c>
      <c r="M51" s="2" t="str">
        <f>_xlfn.XLOOKUP(D51,Products!A:A,Products!C:C)</f>
        <v>Furniture</v>
      </c>
      <c r="N51" s="2" t="str">
        <f>_xlfn.XLOOKUP(D51,Products!A:A,Products!D:D)</f>
        <v>Ikea</v>
      </c>
      <c r="O51" s="2">
        <f>_xlfn.XLOOKUP(D51,Products!A:A,Products!E:E)</f>
        <v>5000</v>
      </c>
      <c r="P51" s="2">
        <f>_xlfn.XLOOKUP(D51,Products!A:A,Products!F:F)</f>
        <v>8500</v>
      </c>
      <c r="Q51" s="11">
        <f t="shared" si="0"/>
        <v>42500</v>
      </c>
      <c r="R51" s="11">
        <f t="shared" si="1"/>
        <v>5525</v>
      </c>
      <c r="S51" s="11">
        <f t="shared" si="2"/>
        <v>36975</v>
      </c>
      <c r="T51" s="11">
        <f t="shared" si="3"/>
        <v>25000</v>
      </c>
      <c r="U51" s="11">
        <f t="shared" si="4"/>
        <v>11975</v>
      </c>
    </row>
    <row r="52" spans="1:21" x14ac:dyDescent="0.3">
      <c r="A52" s="2" t="s">
        <v>104</v>
      </c>
      <c r="B52" s="6">
        <v>46113</v>
      </c>
      <c r="C52" s="2" t="s">
        <v>12</v>
      </c>
      <c r="D52" s="2" t="s">
        <v>13</v>
      </c>
      <c r="E52" s="2" t="s">
        <v>14</v>
      </c>
      <c r="F52" s="2" t="s">
        <v>15</v>
      </c>
      <c r="G52" s="2" t="s">
        <v>16</v>
      </c>
      <c r="H52" s="11">
        <v>2.6906122448979599</v>
      </c>
      <c r="I52" s="7">
        <v>7.8971428571428595E-2</v>
      </c>
      <c r="J52" s="11">
        <v>4.3526530612244896</v>
      </c>
      <c r="K52" s="2" t="s">
        <v>17</v>
      </c>
      <c r="L52" s="2" t="str">
        <f>_xlfn.XLOOKUP(D52,Products!A:A,Products!B:B)</f>
        <v>Laptop</v>
      </c>
      <c r="M52" s="2" t="str">
        <f>_xlfn.XLOOKUP(D52,Products!A:A,Products!C:C)</f>
        <v>Electronics</v>
      </c>
      <c r="N52" s="2" t="str">
        <f>_xlfn.XLOOKUP(D52,Products!A:A,Products!D:D)</f>
        <v>HP</v>
      </c>
      <c r="O52" s="2">
        <f>_xlfn.XLOOKUP(D52,Products!A:A,Products!E:E)</f>
        <v>42000</v>
      </c>
      <c r="P52" s="2">
        <f>_xlfn.XLOOKUP(D52,Products!A:A,Products!F:F)</f>
        <v>55000</v>
      </c>
      <c r="Q52" s="11">
        <f t="shared" si="0"/>
        <v>147983.67346938781</v>
      </c>
      <c r="R52" s="11">
        <f t="shared" si="1"/>
        <v>11686.482099125373</v>
      </c>
      <c r="S52" s="11">
        <f t="shared" si="2"/>
        <v>136297.19137026244</v>
      </c>
      <c r="T52" s="11">
        <f t="shared" si="3"/>
        <v>113005.71428571432</v>
      </c>
      <c r="U52" s="11">
        <f t="shared" si="4"/>
        <v>23291.477084548125</v>
      </c>
    </row>
    <row r="53" spans="1:21" x14ac:dyDescent="0.3">
      <c r="A53" s="2" t="s">
        <v>105</v>
      </c>
      <c r="B53" s="6">
        <v>46113</v>
      </c>
      <c r="C53" s="2" t="s">
        <v>19</v>
      </c>
      <c r="D53" s="2" t="s">
        <v>20</v>
      </c>
      <c r="E53" s="2" t="s">
        <v>21</v>
      </c>
      <c r="F53" s="2" t="s">
        <v>22</v>
      </c>
      <c r="G53" s="2" t="s">
        <v>23</v>
      </c>
      <c r="H53" s="11">
        <v>2.6941656662665099</v>
      </c>
      <c r="I53" s="7">
        <v>7.9119327731092398E-2</v>
      </c>
      <c r="J53" s="11">
        <v>4.3406002400960402</v>
      </c>
      <c r="K53" s="2" t="s">
        <v>17</v>
      </c>
      <c r="L53" s="2" t="str">
        <f>_xlfn.XLOOKUP(D53,Products!A:A,Products!B:B)</f>
        <v>Jeans</v>
      </c>
      <c r="M53" s="2" t="str">
        <f>_xlfn.XLOOKUP(D53,Products!A:A,Products!C:C)</f>
        <v>Clothing</v>
      </c>
      <c r="N53" s="2" t="str">
        <f>_xlfn.XLOOKUP(D53,Products!A:A,Products!D:D)</f>
        <v>Wrangler</v>
      </c>
      <c r="O53" s="2">
        <f>_xlfn.XLOOKUP(D53,Products!A:A,Products!E:E)</f>
        <v>1100</v>
      </c>
      <c r="P53" s="2">
        <f>_xlfn.XLOOKUP(D53,Products!A:A,Products!F:F)</f>
        <v>2200</v>
      </c>
      <c r="Q53" s="11">
        <f t="shared" si="0"/>
        <v>5927.1644657863217</v>
      </c>
      <c r="R53" s="11">
        <f t="shared" si="1"/>
        <v>468.95326788463319</v>
      </c>
      <c r="S53" s="11">
        <f t="shared" si="2"/>
        <v>5458.2111979016881</v>
      </c>
      <c r="T53" s="11">
        <f t="shared" si="3"/>
        <v>2963.5822328931608</v>
      </c>
      <c r="U53" s="11">
        <f t="shared" si="4"/>
        <v>2494.6289650085273</v>
      </c>
    </row>
    <row r="54" spans="1:21" x14ac:dyDescent="0.3">
      <c r="A54" s="2" t="s">
        <v>106</v>
      </c>
      <c r="B54" s="6">
        <v>46114</v>
      </c>
      <c r="C54" s="2" t="s">
        <v>25</v>
      </c>
      <c r="D54" s="2" t="s">
        <v>26</v>
      </c>
      <c r="E54" s="2" t="s">
        <v>27</v>
      </c>
      <c r="F54" s="2" t="s">
        <v>28</v>
      </c>
      <c r="G54" s="2" t="s">
        <v>29</v>
      </c>
      <c r="H54" s="11">
        <v>2.6977190876350501</v>
      </c>
      <c r="I54" s="7">
        <v>7.9267226890756298E-2</v>
      </c>
      <c r="J54" s="11">
        <v>4.3285474189675899</v>
      </c>
      <c r="K54" s="2" t="s">
        <v>30</v>
      </c>
      <c r="L54" s="2" t="str">
        <f>_xlfn.XLOOKUP(D54,Products!A:A,Products!B:B)</f>
        <v>Face Wash</v>
      </c>
      <c r="M54" s="2" t="str">
        <f>_xlfn.XLOOKUP(D54,Products!A:A,Products!C:C)</f>
        <v>Beauty</v>
      </c>
      <c r="N54" s="2" t="str">
        <f>_xlfn.XLOOKUP(D54,Products!A:A,Products!D:D)</f>
        <v>Nivea</v>
      </c>
      <c r="O54" s="2">
        <f>_xlfn.XLOOKUP(D54,Products!A:A,Products!E:E)</f>
        <v>180</v>
      </c>
      <c r="P54" s="2">
        <f>_xlfn.XLOOKUP(D54,Products!A:A,Products!F:F)</f>
        <v>350</v>
      </c>
      <c r="Q54" s="11">
        <f t="shared" si="0"/>
        <v>944.20168067226757</v>
      </c>
      <c r="R54" s="11">
        <f t="shared" si="1"/>
        <v>74.844248852482053</v>
      </c>
      <c r="S54" s="11">
        <f t="shared" si="2"/>
        <v>869.35743181978546</v>
      </c>
      <c r="T54" s="11">
        <f t="shared" si="3"/>
        <v>485.58943577430904</v>
      </c>
      <c r="U54" s="11">
        <f t="shared" si="4"/>
        <v>383.76799604547642</v>
      </c>
    </row>
    <row r="55" spans="1:21" x14ac:dyDescent="0.3">
      <c r="A55" s="4" t="s">
        <v>107</v>
      </c>
      <c r="B55" s="5">
        <v>46114</v>
      </c>
      <c r="C55" s="4" t="s">
        <v>32</v>
      </c>
      <c r="D55" s="4" t="s">
        <v>37</v>
      </c>
      <c r="E55" s="4" t="s">
        <v>38</v>
      </c>
      <c r="F55" s="4" t="s">
        <v>39</v>
      </c>
      <c r="G55" s="4" t="s">
        <v>16</v>
      </c>
      <c r="H55" s="12">
        <v>2.7012725090036001</v>
      </c>
      <c r="I55" s="8">
        <v>7.9415126050420198E-2</v>
      </c>
      <c r="J55" s="12">
        <v>4.3164945978391396</v>
      </c>
      <c r="K55" s="4" t="s">
        <v>17</v>
      </c>
      <c r="L55" s="2" t="str">
        <f>_xlfn.XLOOKUP(D55,Products!A:A,Products!B:B)</f>
        <v>Headphones</v>
      </c>
      <c r="M55" s="2" t="str">
        <f>_xlfn.XLOOKUP(D55,Products!A:A,Products!C:C)</f>
        <v>Electronics</v>
      </c>
      <c r="N55" s="2" t="str">
        <f>_xlfn.XLOOKUP(D55,Products!A:A,Products!D:D)</f>
        <v>Sony</v>
      </c>
      <c r="O55" s="2">
        <f>_xlfn.XLOOKUP(D55,Products!A:A,Products!E:E)</f>
        <v>1800</v>
      </c>
      <c r="P55" s="2">
        <f>_xlfn.XLOOKUP(D55,Products!A:A,Products!F:F)</f>
        <v>3200</v>
      </c>
      <c r="Q55" s="11">
        <f t="shared" si="0"/>
        <v>8644.0720288115208</v>
      </c>
      <c r="R55" s="11">
        <f t="shared" si="1"/>
        <v>686.47006975697843</v>
      </c>
      <c r="S55" s="11">
        <f t="shared" si="2"/>
        <v>7957.601959054542</v>
      </c>
      <c r="T55" s="11">
        <f t="shared" si="3"/>
        <v>4862.2905162064799</v>
      </c>
      <c r="U55" s="11">
        <f t="shared" si="4"/>
        <v>3095.3114428480621</v>
      </c>
    </row>
    <row r="56" spans="1:21" x14ac:dyDescent="0.3">
      <c r="A56" s="1" t="s">
        <v>108</v>
      </c>
      <c r="B56" s="9">
        <v>46115</v>
      </c>
      <c r="C56" s="1" t="s">
        <v>34</v>
      </c>
      <c r="D56" s="1" t="s">
        <v>40</v>
      </c>
      <c r="E56" s="1" t="s">
        <v>14</v>
      </c>
      <c r="F56" s="1" t="s">
        <v>41</v>
      </c>
      <c r="G56" s="1" t="s">
        <v>42</v>
      </c>
      <c r="H56" s="13">
        <v>2.70482593037215</v>
      </c>
      <c r="I56" s="10">
        <v>7.9563025210084001E-2</v>
      </c>
      <c r="J56" s="13">
        <v>4.3044417767106804</v>
      </c>
      <c r="K56" s="10" t="s">
        <v>17</v>
      </c>
      <c r="L56" s="2" t="str">
        <f>_xlfn.XLOOKUP(D56,Products!A:A,Products!B:B)</f>
        <v>Office Chair</v>
      </c>
      <c r="M56" s="2" t="str">
        <f>_xlfn.XLOOKUP(D56,Products!A:A,Products!C:C)</f>
        <v>Furniture</v>
      </c>
      <c r="N56" s="2" t="str">
        <f>_xlfn.XLOOKUP(D56,Products!A:A,Products!D:D)</f>
        <v>Featherlite</v>
      </c>
      <c r="O56" s="2">
        <f>_xlfn.XLOOKUP(D56,Products!A:A,Products!E:E)</f>
        <v>4500</v>
      </c>
      <c r="P56" s="2">
        <f>_xlfn.XLOOKUP(D56,Products!A:A,Products!F:F)</f>
        <v>7500</v>
      </c>
      <c r="Q56" s="11">
        <f t="shared" si="0"/>
        <v>20286.194477791127</v>
      </c>
      <c r="R56" s="11">
        <f t="shared" si="1"/>
        <v>1614.0310026531622</v>
      </c>
      <c r="S56" s="11">
        <f t="shared" si="2"/>
        <v>18672.163475137964</v>
      </c>
      <c r="T56" s="11">
        <f t="shared" si="3"/>
        <v>12171.716686674676</v>
      </c>
      <c r="U56" s="11">
        <f t="shared" si="4"/>
        <v>6500.4467884632886</v>
      </c>
    </row>
    <row r="57" spans="1:21" x14ac:dyDescent="0.3">
      <c r="A57" s="1" t="s">
        <v>109</v>
      </c>
      <c r="B57" s="9">
        <v>46115</v>
      </c>
      <c r="C57" s="1" t="s">
        <v>36</v>
      </c>
      <c r="D57" s="1" t="s">
        <v>43</v>
      </c>
      <c r="E57" s="1" t="s">
        <v>44</v>
      </c>
      <c r="F57" s="1" t="s">
        <v>15</v>
      </c>
      <c r="G57" s="1" t="s">
        <v>23</v>
      </c>
      <c r="H57" s="13">
        <v>2.7083793517407</v>
      </c>
      <c r="I57" s="10">
        <v>7.9710924369747901E-2</v>
      </c>
      <c r="J57" s="13">
        <v>4.2923889555822301</v>
      </c>
      <c r="K57" s="10" t="s">
        <v>17</v>
      </c>
      <c r="L57" s="2" t="str">
        <f>_xlfn.XLOOKUP(D57,Products!A:A,Products!B:B)</f>
        <v>Smartphone</v>
      </c>
      <c r="M57" s="2" t="str">
        <f>_xlfn.XLOOKUP(D57,Products!A:A,Products!C:C)</f>
        <v>Electronics</v>
      </c>
      <c r="N57" s="2" t="str">
        <f>_xlfn.XLOOKUP(D57,Products!A:A,Products!D:D)</f>
        <v>Samsung</v>
      </c>
      <c r="O57" s="2">
        <f>_xlfn.XLOOKUP(D57,Products!A:A,Products!E:E)</f>
        <v>14000</v>
      </c>
      <c r="P57" s="2">
        <f>_xlfn.XLOOKUP(D57,Products!A:A,Products!F:F)</f>
        <v>22000</v>
      </c>
      <c r="Q57" s="11">
        <f t="shared" si="0"/>
        <v>59584.3457382954</v>
      </c>
      <c r="R57" s="11">
        <f t="shared" si="1"/>
        <v>4749.5232767661755</v>
      </c>
      <c r="S57" s="11">
        <f t="shared" si="2"/>
        <v>54834.822461529227</v>
      </c>
      <c r="T57" s="11">
        <f t="shared" si="3"/>
        <v>37917.310924369798</v>
      </c>
      <c r="U57" s="11">
        <f t="shared" si="4"/>
        <v>16917.511537159429</v>
      </c>
    </row>
    <row r="58" spans="1:21" x14ac:dyDescent="0.3">
      <c r="A58" s="1" t="s">
        <v>110</v>
      </c>
      <c r="B58" s="9">
        <v>46116</v>
      </c>
      <c r="C58" s="1" t="s">
        <v>46</v>
      </c>
      <c r="D58" s="1" t="s">
        <v>47</v>
      </c>
      <c r="E58" s="1" t="s">
        <v>27</v>
      </c>
      <c r="F58" s="1" t="s">
        <v>22</v>
      </c>
      <c r="G58" s="1" t="s">
        <v>16</v>
      </c>
      <c r="H58" s="13">
        <v>2.7119327731092402</v>
      </c>
      <c r="I58" s="10">
        <v>7.9858823529411802E-2</v>
      </c>
      <c r="J58" s="13">
        <v>4.2803361344537798</v>
      </c>
      <c r="K58" s="10" t="s">
        <v>48</v>
      </c>
      <c r="L58" s="2" t="str">
        <f>_xlfn.XLOOKUP(D58,Products!A:A,Products!B:B)</f>
        <v>Mixer Grinder</v>
      </c>
      <c r="M58" s="2" t="str">
        <f>_xlfn.XLOOKUP(D58,Products!A:A,Products!C:C)</f>
        <v>Home Appliances</v>
      </c>
      <c r="N58" s="2" t="str">
        <f>_xlfn.XLOOKUP(D58,Products!A:A,Products!D:D)</f>
        <v>Philips</v>
      </c>
      <c r="O58" s="2">
        <f>_xlfn.XLOOKUP(D58,Products!A:A,Products!E:E)</f>
        <v>2800</v>
      </c>
      <c r="P58" s="2">
        <f>_xlfn.XLOOKUP(D58,Products!A:A,Products!F:F)</f>
        <v>4800</v>
      </c>
      <c r="Q58" s="11">
        <f t="shared" si="0"/>
        <v>13017.277310924354</v>
      </c>
      <c r="R58" s="11">
        <f t="shared" si="1"/>
        <v>1039.544451606524</v>
      </c>
      <c r="S58" s="11">
        <f t="shared" si="2"/>
        <v>11977.73285931783</v>
      </c>
      <c r="T58" s="11">
        <f t="shared" si="3"/>
        <v>7593.4117647058729</v>
      </c>
      <c r="U58" s="11">
        <f t="shared" si="4"/>
        <v>4384.3210946119571</v>
      </c>
    </row>
    <row r="59" spans="1:21" x14ac:dyDescent="0.3">
      <c r="A59" s="2" t="s">
        <v>111</v>
      </c>
      <c r="B59" s="6">
        <v>46116</v>
      </c>
      <c r="C59" s="2" t="s">
        <v>50</v>
      </c>
      <c r="D59" s="2" t="s">
        <v>51</v>
      </c>
      <c r="E59" s="2" t="s">
        <v>21</v>
      </c>
      <c r="F59" s="2" t="s">
        <v>52</v>
      </c>
      <c r="G59" s="2" t="s">
        <v>16</v>
      </c>
      <c r="H59" s="11">
        <v>2.7154861944777902</v>
      </c>
      <c r="I59" s="7">
        <v>8.0006722689075604E-2</v>
      </c>
      <c r="J59" s="11">
        <v>4.2682833133253304</v>
      </c>
      <c r="K59" s="2" t="s">
        <v>17</v>
      </c>
      <c r="L59" s="2" t="str">
        <f>_xlfn.XLOOKUP(D59,Products!A:A,Products!B:B)</f>
        <v>Shirt</v>
      </c>
      <c r="M59" s="2" t="str">
        <f>_xlfn.XLOOKUP(D59,Products!A:A,Products!C:C)</f>
        <v>Clothing</v>
      </c>
      <c r="N59" s="2" t="str">
        <f>_xlfn.XLOOKUP(D59,Products!A:A,Products!D:D)</f>
        <v>Levis</v>
      </c>
      <c r="O59" s="2">
        <f>_xlfn.XLOOKUP(D59,Products!A:A,Products!E:E)</f>
        <v>700</v>
      </c>
      <c r="P59" s="2">
        <f>_xlfn.XLOOKUP(D59,Products!A:A,Products!F:F)</f>
        <v>1500</v>
      </c>
      <c r="Q59" s="11">
        <f t="shared" si="0"/>
        <v>4073.2292917166851</v>
      </c>
      <c r="R59" s="11">
        <f t="shared" si="1"/>
        <v>325.88572639139664</v>
      </c>
      <c r="S59" s="11">
        <f t="shared" si="2"/>
        <v>3747.3435653252886</v>
      </c>
      <c r="T59" s="11">
        <f t="shared" si="3"/>
        <v>1900.8403361344531</v>
      </c>
      <c r="U59" s="11">
        <f t="shared" si="4"/>
        <v>1846.5032291908356</v>
      </c>
    </row>
    <row r="60" spans="1:21" x14ac:dyDescent="0.3">
      <c r="A60" s="2" t="s">
        <v>112</v>
      </c>
      <c r="B60" s="6">
        <v>46117</v>
      </c>
      <c r="C60" s="2" t="s">
        <v>54</v>
      </c>
      <c r="D60" s="2" t="s">
        <v>55</v>
      </c>
      <c r="E60" s="2" t="s">
        <v>38</v>
      </c>
      <c r="F60" s="2" t="s">
        <v>15</v>
      </c>
      <c r="G60" s="2" t="s">
        <v>29</v>
      </c>
      <c r="H60" s="11">
        <v>2.7190396158463401</v>
      </c>
      <c r="I60" s="7">
        <v>8.0154621848739505E-2</v>
      </c>
      <c r="J60" s="11">
        <v>4.2562304921968801</v>
      </c>
      <c r="K60" s="2" t="s">
        <v>30</v>
      </c>
      <c r="L60" s="2" t="str">
        <f>_xlfn.XLOOKUP(D60,Products!A:A,Products!B:B)</f>
        <v>Sports Shoes</v>
      </c>
      <c r="M60" s="2" t="str">
        <f>_xlfn.XLOOKUP(D60,Products!A:A,Products!C:C)</f>
        <v>Sports</v>
      </c>
      <c r="N60" s="2" t="str">
        <f>_xlfn.XLOOKUP(D60,Products!A:A,Products!D:D)</f>
        <v>Nike</v>
      </c>
      <c r="O60" s="2">
        <f>_xlfn.XLOOKUP(D60,Products!A:A,Products!E:E)</f>
        <v>2200</v>
      </c>
      <c r="P60" s="2">
        <f>_xlfn.XLOOKUP(D60,Products!A:A,Products!F:F)</f>
        <v>4500</v>
      </c>
      <c r="Q60" s="11">
        <f t="shared" si="0"/>
        <v>12235.67827130853</v>
      </c>
      <c r="R60" s="11">
        <f t="shared" si="1"/>
        <v>980.74616489957396</v>
      </c>
      <c r="S60" s="11">
        <f t="shared" si="2"/>
        <v>11254.932106408956</v>
      </c>
      <c r="T60" s="11">
        <f t="shared" si="3"/>
        <v>5981.8871548619481</v>
      </c>
      <c r="U60" s="11">
        <f t="shared" si="4"/>
        <v>5273.0449515470082</v>
      </c>
    </row>
    <row r="61" spans="1:21" x14ac:dyDescent="0.3">
      <c r="A61" s="2" t="s">
        <v>113</v>
      </c>
      <c r="B61" s="6">
        <v>46117</v>
      </c>
      <c r="C61" s="2" t="s">
        <v>57</v>
      </c>
      <c r="D61" s="2" t="s">
        <v>58</v>
      </c>
      <c r="E61" s="2" t="s">
        <v>44</v>
      </c>
      <c r="F61" s="2" t="s">
        <v>41</v>
      </c>
      <c r="G61" s="2" t="s">
        <v>23</v>
      </c>
      <c r="H61" s="11">
        <v>2.7225930372148901</v>
      </c>
      <c r="I61" s="7">
        <v>8.0302521008403294E-2</v>
      </c>
      <c r="J61" s="11">
        <v>4.2441776710684298</v>
      </c>
      <c r="K61" s="2" t="s">
        <v>17</v>
      </c>
      <c r="L61" s="2" t="str">
        <f>_xlfn.XLOOKUP(D61,Products!A:A,Products!B:B)</f>
        <v>Study Table</v>
      </c>
      <c r="M61" s="2" t="str">
        <f>_xlfn.XLOOKUP(D61,Products!A:A,Products!C:C)</f>
        <v>Furniture</v>
      </c>
      <c r="N61" s="2" t="str">
        <f>_xlfn.XLOOKUP(D61,Products!A:A,Products!D:D)</f>
        <v>Ikea</v>
      </c>
      <c r="O61" s="2">
        <f>_xlfn.XLOOKUP(D61,Products!A:A,Products!E:E)</f>
        <v>5000</v>
      </c>
      <c r="P61" s="2">
        <f>_xlfn.XLOOKUP(D61,Products!A:A,Products!F:F)</f>
        <v>8500</v>
      </c>
      <c r="Q61" s="11">
        <f t="shared" si="0"/>
        <v>23142.040816326567</v>
      </c>
      <c r="R61" s="11">
        <f t="shared" si="1"/>
        <v>1858.3642188303907</v>
      </c>
      <c r="S61" s="11">
        <f t="shared" si="2"/>
        <v>21283.676597496178</v>
      </c>
      <c r="T61" s="11">
        <f t="shared" si="3"/>
        <v>13612.965186074451</v>
      </c>
      <c r="U61" s="11">
        <f t="shared" si="4"/>
        <v>7670.7114114217275</v>
      </c>
    </row>
    <row r="62" spans="1:21" x14ac:dyDescent="0.3">
      <c r="A62" s="2" t="s">
        <v>114</v>
      </c>
      <c r="B62" s="6">
        <v>46118</v>
      </c>
      <c r="C62" s="2" t="s">
        <v>60</v>
      </c>
      <c r="D62" s="2" t="s">
        <v>13</v>
      </c>
      <c r="E62" s="2" t="s">
        <v>14</v>
      </c>
      <c r="F62" s="2" t="s">
        <v>22</v>
      </c>
      <c r="G62" s="2" t="s">
        <v>16</v>
      </c>
      <c r="H62" s="11">
        <v>2.7261464585834299</v>
      </c>
      <c r="I62" s="7">
        <v>8.0450420168067194E-2</v>
      </c>
      <c r="J62" s="11">
        <v>4.2321248499399804</v>
      </c>
      <c r="K62" s="2" t="s">
        <v>17</v>
      </c>
      <c r="L62" s="2" t="str">
        <f>_xlfn.XLOOKUP(D62,Products!A:A,Products!B:B)</f>
        <v>Laptop</v>
      </c>
      <c r="M62" s="2" t="str">
        <f>_xlfn.XLOOKUP(D62,Products!A:A,Products!C:C)</f>
        <v>Electronics</v>
      </c>
      <c r="N62" s="2" t="str">
        <f>_xlfn.XLOOKUP(D62,Products!A:A,Products!D:D)</f>
        <v>HP</v>
      </c>
      <c r="O62" s="2">
        <f>_xlfn.XLOOKUP(D62,Products!A:A,Products!E:E)</f>
        <v>42000</v>
      </c>
      <c r="P62" s="2">
        <f>_xlfn.XLOOKUP(D62,Products!A:A,Products!F:F)</f>
        <v>55000</v>
      </c>
      <c r="Q62" s="11">
        <f t="shared" si="0"/>
        <v>149938.05522208865</v>
      </c>
      <c r="R62" s="11">
        <f t="shared" si="1"/>
        <v>12062.579541799892</v>
      </c>
      <c r="S62" s="11">
        <f t="shared" si="2"/>
        <v>137875.47568028874</v>
      </c>
      <c r="T62" s="11">
        <f t="shared" si="3"/>
        <v>114498.15126050405</v>
      </c>
      <c r="U62" s="11">
        <f t="shared" si="4"/>
        <v>23377.324419784694</v>
      </c>
    </row>
    <row r="63" spans="1:21" x14ac:dyDescent="0.3">
      <c r="A63" s="2" t="s">
        <v>115</v>
      </c>
      <c r="B63" s="6">
        <v>46118</v>
      </c>
      <c r="C63" s="2" t="s">
        <v>62</v>
      </c>
      <c r="D63" s="2" t="s">
        <v>26</v>
      </c>
      <c r="E63" s="2" t="s">
        <v>27</v>
      </c>
      <c r="F63" s="2" t="s">
        <v>15</v>
      </c>
      <c r="G63" s="2" t="s">
        <v>42</v>
      </c>
      <c r="H63" s="11">
        <v>2.7296998799519798</v>
      </c>
      <c r="I63" s="7">
        <v>8.0598319327731094E-2</v>
      </c>
      <c r="J63" s="11">
        <v>4.2200720288115203</v>
      </c>
      <c r="K63" s="2" t="s">
        <v>17</v>
      </c>
      <c r="L63" s="2" t="str">
        <f>_xlfn.XLOOKUP(D63,Products!A:A,Products!B:B)</f>
        <v>Face Wash</v>
      </c>
      <c r="M63" s="2" t="str">
        <f>_xlfn.XLOOKUP(D63,Products!A:A,Products!C:C)</f>
        <v>Beauty</v>
      </c>
      <c r="N63" s="2" t="str">
        <f>_xlfn.XLOOKUP(D63,Products!A:A,Products!D:D)</f>
        <v>Nivea</v>
      </c>
      <c r="O63" s="2">
        <f>_xlfn.XLOOKUP(D63,Products!A:A,Products!E:E)</f>
        <v>180</v>
      </c>
      <c r="P63" s="2">
        <f>_xlfn.XLOOKUP(D63,Products!A:A,Products!F:F)</f>
        <v>350</v>
      </c>
      <c r="Q63" s="11">
        <f t="shared" si="0"/>
        <v>955.39495798319297</v>
      </c>
      <c r="R63" s="11">
        <f t="shared" si="1"/>
        <v>77.003227907633615</v>
      </c>
      <c r="S63" s="11">
        <f t="shared" si="2"/>
        <v>878.39173007555939</v>
      </c>
      <c r="T63" s="11">
        <f t="shared" si="3"/>
        <v>491.34597839135637</v>
      </c>
      <c r="U63" s="11">
        <f t="shared" si="4"/>
        <v>387.04575168420303</v>
      </c>
    </row>
    <row r="64" spans="1:21" x14ac:dyDescent="0.3">
      <c r="A64" s="2" t="s">
        <v>116</v>
      </c>
      <c r="B64" s="6">
        <v>46119</v>
      </c>
      <c r="C64" s="2" t="s">
        <v>64</v>
      </c>
      <c r="D64" s="2" t="s">
        <v>20</v>
      </c>
      <c r="E64" s="2" t="s">
        <v>21</v>
      </c>
      <c r="F64" s="2" t="s">
        <v>39</v>
      </c>
      <c r="G64" s="2" t="s">
        <v>23</v>
      </c>
      <c r="H64" s="11">
        <v>2.7332533013205298</v>
      </c>
      <c r="I64" s="7">
        <v>8.0746218487394994E-2</v>
      </c>
      <c r="J64" s="11">
        <v>4.20801920768307</v>
      </c>
      <c r="K64" s="2" t="s">
        <v>17</v>
      </c>
      <c r="L64" s="2" t="str">
        <f>_xlfn.XLOOKUP(D64,Products!A:A,Products!B:B)</f>
        <v>Jeans</v>
      </c>
      <c r="M64" s="2" t="str">
        <f>_xlfn.XLOOKUP(D64,Products!A:A,Products!C:C)</f>
        <v>Clothing</v>
      </c>
      <c r="N64" s="2" t="str">
        <f>_xlfn.XLOOKUP(D64,Products!A:A,Products!D:D)</f>
        <v>Wrangler</v>
      </c>
      <c r="O64" s="2">
        <f>_xlfn.XLOOKUP(D64,Products!A:A,Products!E:E)</f>
        <v>1100</v>
      </c>
      <c r="P64" s="2">
        <f>_xlfn.XLOOKUP(D64,Products!A:A,Products!F:F)</f>
        <v>2200</v>
      </c>
      <c r="Q64" s="11">
        <f t="shared" si="0"/>
        <v>6013.1572629051652</v>
      </c>
      <c r="R64" s="11">
        <f t="shared" si="1"/>
        <v>485.53971014960655</v>
      </c>
      <c r="S64" s="11">
        <f t="shared" si="2"/>
        <v>5527.6175527555588</v>
      </c>
      <c r="T64" s="11">
        <f t="shared" si="3"/>
        <v>3006.5786314525826</v>
      </c>
      <c r="U64" s="11">
        <f t="shared" si="4"/>
        <v>2521.0389213029762</v>
      </c>
    </row>
    <row r="65" spans="1:21" x14ac:dyDescent="0.3">
      <c r="A65" s="2" t="s">
        <v>117</v>
      </c>
      <c r="B65" s="6">
        <v>46119</v>
      </c>
      <c r="C65" s="2" t="s">
        <v>66</v>
      </c>
      <c r="D65" s="2" t="s">
        <v>37</v>
      </c>
      <c r="E65" s="2" t="s">
        <v>38</v>
      </c>
      <c r="F65" s="2" t="s">
        <v>15</v>
      </c>
      <c r="G65" s="2" t="s">
        <v>16</v>
      </c>
      <c r="H65" s="11">
        <v>2.73680672268907</v>
      </c>
      <c r="I65" s="7">
        <v>8.0894117647058797E-2</v>
      </c>
      <c r="J65" s="11">
        <v>4.1959663865546197</v>
      </c>
      <c r="K65" s="2" t="s">
        <v>17</v>
      </c>
      <c r="L65" s="2" t="str">
        <f>_xlfn.XLOOKUP(D65,Products!A:A,Products!B:B)</f>
        <v>Headphones</v>
      </c>
      <c r="M65" s="2" t="str">
        <f>_xlfn.XLOOKUP(D65,Products!A:A,Products!C:C)</f>
        <v>Electronics</v>
      </c>
      <c r="N65" s="2" t="str">
        <f>_xlfn.XLOOKUP(D65,Products!A:A,Products!D:D)</f>
        <v>Sony</v>
      </c>
      <c r="O65" s="2">
        <f>_xlfn.XLOOKUP(D65,Products!A:A,Products!E:E)</f>
        <v>1800</v>
      </c>
      <c r="P65" s="2">
        <f>_xlfn.XLOOKUP(D65,Products!A:A,Products!F:F)</f>
        <v>3200</v>
      </c>
      <c r="Q65" s="11">
        <f t="shared" si="0"/>
        <v>8757.7815126050245</v>
      </c>
      <c r="R65" s="11">
        <f t="shared" si="1"/>
        <v>708.45300800790744</v>
      </c>
      <c r="S65" s="11">
        <f t="shared" si="2"/>
        <v>8049.328504597117</v>
      </c>
      <c r="T65" s="11">
        <f t="shared" si="3"/>
        <v>4926.2521008403264</v>
      </c>
      <c r="U65" s="11">
        <f t="shared" si="4"/>
        <v>3123.0764037567906</v>
      </c>
    </row>
    <row r="66" spans="1:21" x14ac:dyDescent="0.3">
      <c r="A66" s="2" t="s">
        <v>118</v>
      </c>
      <c r="B66" s="6">
        <v>46113</v>
      </c>
      <c r="C66" s="2" t="s">
        <v>12</v>
      </c>
      <c r="D66" s="2" t="s">
        <v>13</v>
      </c>
      <c r="E66" s="2" t="s">
        <v>14</v>
      </c>
      <c r="F66" s="2" t="s">
        <v>15</v>
      </c>
      <c r="G66" s="2" t="s">
        <v>16</v>
      </c>
      <c r="H66" s="11">
        <v>2.74036014405762</v>
      </c>
      <c r="I66" s="7">
        <v>8.1042016806722697E-2</v>
      </c>
      <c r="J66" s="11">
        <v>4.1839135654261703</v>
      </c>
      <c r="K66" s="2" t="s">
        <v>17</v>
      </c>
      <c r="L66" s="2" t="str">
        <f>_xlfn.XLOOKUP(D66,Products!A:A,Products!B:B)</f>
        <v>Laptop</v>
      </c>
      <c r="M66" s="2" t="str">
        <f>_xlfn.XLOOKUP(D66,Products!A:A,Products!C:C)</f>
        <v>Electronics</v>
      </c>
      <c r="N66" s="2" t="str">
        <f>_xlfn.XLOOKUP(D66,Products!A:A,Products!D:D)</f>
        <v>HP</v>
      </c>
      <c r="O66" s="2">
        <f>_xlfn.XLOOKUP(D66,Products!A:A,Products!E:E)</f>
        <v>42000</v>
      </c>
      <c r="P66" s="2">
        <f>_xlfn.XLOOKUP(D66,Products!A:A,Products!F:F)</f>
        <v>55000</v>
      </c>
      <c r="Q66" s="11">
        <f t="shared" si="0"/>
        <v>150719.80792316911</v>
      </c>
      <c r="R66" s="11">
        <f t="shared" si="1"/>
        <v>12214.637206815487</v>
      </c>
      <c r="S66" s="11">
        <f t="shared" si="2"/>
        <v>138505.17071635363</v>
      </c>
      <c r="T66" s="11">
        <f t="shared" si="3"/>
        <v>115095.12605042003</v>
      </c>
      <c r="U66" s="11">
        <f t="shared" si="4"/>
        <v>23410.044665933601</v>
      </c>
    </row>
    <row r="67" spans="1:21" x14ac:dyDescent="0.3">
      <c r="A67" s="2" t="s">
        <v>119</v>
      </c>
      <c r="B67" s="6">
        <v>46113</v>
      </c>
      <c r="C67" s="2" t="s">
        <v>19</v>
      </c>
      <c r="D67" s="2" t="s">
        <v>20</v>
      </c>
      <c r="E67" s="2" t="s">
        <v>21</v>
      </c>
      <c r="F67" s="2" t="s">
        <v>22</v>
      </c>
      <c r="G67" s="2" t="s">
        <v>23</v>
      </c>
      <c r="H67" s="11">
        <v>2.7439135654261699</v>
      </c>
      <c r="I67" s="7">
        <v>8.1189915966386597E-2</v>
      </c>
      <c r="J67" s="11">
        <v>4.17186074429772</v>
      </c>
      <c r="K67" s="2" t="s">
        <v>17</v>
      </c>
      <c r="L67" s="2" t="str">
        <f>_xlfn.XLOOKUP(D67,Products!A:A,Products!B:B)</f>
        <v>Jeans</v>
      </c>
      <c r="M67" s="2" t="str">
        <f>_xlfn.XLOOKUP(D67,Products!A:A,Products!C:C)</f>
        <v>Clothing</v>
      </c>
      <c r="N67" s="2" t="str">
        <f>_xlfn.XLOOKUP(D67,Products!A:A,Products!D:D)</f>
        <v>Wrangler</v>
      </c>
      <c r="O67" s="2">
        <f>_xlfn.XLOOKUP(D67,Products!A:A,Products!E:E)</f>
        <v>1100</v>
      </c>
      <c r="P67" s="2">
        <f>_xlfn.XLOOKUP(D67,Products!A:A,Products!F:F)</f>
        <v>2200</v>
      </c>
      <c r="Q67" s="11">
        <f t="shared" ref="Q67:Q130" si="5">H67*P67</f>
        <v>6036.6098439375737</v>
      </c>
      <c r="R67" s="11">
        <f t="shared" ref="R67:R130" si="6">Q67*I67</f>
        <v>490.11184595115373</v>
      </c>
      <c r="S67" s="11">
        <f t="shared" ref="S67:S130" si="7">Q67-R67</f>
        <v>5546.4979979864202</v>
      </c>
      <c r="T67" s="11">
        <f t="shared" ref="T67:T130" si="8">H67*O67</f>
        <v>3018.3049219687869</v>
      </c>
      <c r="U67" s="11">
        <f t="shared" ref="U67:U130" si="9">S67-T67</f>
        <v>2528.1930760176333</v>
      </c>
    </row>
    <row r="68" spans="1:21" x14ac:dyDescent="0.3">
      <c r="A68" s="2" t="s">
        <v>120</v>
      </c>
      <c r="B68" s="6">
        <v>46114</v>
      </c>
      <c r="C68" s="2" t="s">
        <v>25</v>
      </c>
      <c r="D68" s="2" t="s">
        <v>26</v>
      </c>
      <c r="E68" s="2" t="s">
        <v>27</v>
      </c>
      <c r="F68" s="2" t="s">
        <v>28</v>
      </c>
      <c r="G68" s="2" t="s">
        <v>29</v>
      </c>
      <c r="H68" s="11">
        <v>2.7474669867947199</v>
      </c>
      <c r="I68" s="7">
        <v>8.13378151260504E-2</v>
      </c>
      <c r="J68" s="11">
        <v>4.1598079231692697</v>
      </c>
      <c r="K68" s="2" t="s">
        <v>30</v>
      </c>
      <c r="L68" s="2" t="str">
        <f>_xlfn.XLOOKUP(D68,Products!A:A,Products!B:B)</f>
        <v>Face Wash</v>
      </c>
      <c r="M68" s="2" t="str">
        <f>_xlfn.XLOOKUP(D68,Products!A:A,Products!C:C)</f>
        <v>Beauty</v>
      </c>
      <c r="N68" s="2" t="str">
        <f>_xlfn.XLOOKUP(D68,Products!A:A,Products!D:D)</f>
        <v>Nivea</v>
      </c>
      <c r="O68" s="2">
        <f>_xlfn.XLOOKUP(D68,Products!A:A,Products!E:E)</f>
        <v>180</v>
      </c>
      <c r="P68" s="2">
        <f>_xlfn.XLOOKUP(D68,Products!A:A,Products!F:F)</f>
        <v>350</v>
      </c>
      <c r="Q68" s="11">
        <f t="shared" si="5"/>
        <v>961.61344537815194</v>
      </c>
      <c r="R68" s="11">
        <f t="shared" si="6"/>
        <v>78.215536642892488</v>
      </c>
      <c r="S68" s="11">
        <f t="shared" si="7"/>
        <v>883.39790873525942</v>
      </c>
      <c r="T68" s="11">
        <f t="shared" si="8"/>
        <v>494.54405762304958</v>
      </c>
      <c r="U68" s="11">
        <f t="shared" si="9"/>
        <v>388.85385111220984</v>
      </c>
    </row>
    <row r="69" spans="1:21" x14ac:dyDescent="0.3">
      <c r="A69" s="4" t="s">
        <v>121</v>
      </c>
      <c r="B69" s="5">
        <v>46114</v>
      </c>
      <c r="C69" s="4" t="s">
        <v>32</v>
      </c>
      <c r="D69" s="4" t="s">
        <v>37</v>
      </c>
      <c r="E69" s="4" t="s">
        <v>38</v>
      </c>
      <c r="F69" s="4" t="s">
        <v>39</v>
      </c>
      <c r="G69" s="4" t="s">
        <v>16</v>
      </c>
      <c r="H69" s="12">
        <v>2.7510204081632601</v>
      </c>
      <c r="I69" s="8">
        <v>8.14857142857143E-2</v>
      </c>
      <c r="J69" s="12">
        <v>4.1477551020408203</v>
      </c>
      <c r="K69" s="4" t="s">
        <v>17</v>
      </c>
      <c r="L69" s="2" t="str">
        <f>_xlfn.XLOOKUP(D69,Products!A:A,Products!B:B)</f>
        <v>Headphones</v>
      </c>
      <c r="M69" s="2" t="str">
        <f>_xlfn.XLOOKUP(D69,Products!A:A,Products!C:C)</f>
        <v>Electronics</v>
      </c>
      <c r="N69" s="2" t="str">
        <f>_xlfn.XLOOKUP(D69,Products!A:A,Products!D:D)</f>
        <v>Sony</v>
      </c>
      <c r="O69" s="2">
        <f>_xlfn.XLOOKUP(D69,Products!A:A,Products!E:E)</f>
        <v>1800</v>
      </c>
      <c r="P69" s="2">
        <f>_xlfn.XLOOKUP(D69,Products!A:A,Products!F:F)</f>
        <v>3200</v>
      </c>
      <c r="Q69" s="11">
        <f t="shared" si="5"/>
        <v>8803.2653061224319</v>
      </c>
      <c r="R69" s="11">
        <f t="shared" si="6"/>
        <v>717.34036151603368</v>
      </c>
      <c r="S69" s="11">
        <f t="shared" si="7"/>
        <v>8085.9249446063986</v>
      </c>
      <c r="T69" s="11">
        <f t="shared" si="8"/>
        <v>4951.8367346938685</v>
      </c>
      <c r="U69" s="11">
        <f t="shared" si="9"/>
        <v>3134.0882099125301</v>
      </c>
    </row>
    <row r="70" spans="1:21" x14ac:dyDescent="0.3">
      <c r="A70" s="1" t="s">
        <v>122</v>
      </c>
      <c r="B70" s="9">
        <v>46115</v>
      </c>
      <c r="C70" s="1" t="s">
        <v>34</v>
      </c>
      <c r="D70" s="1" t="s">
        <v>40</v>
      </c>
      <c r="E70" s="1" t="s">
        <v>14</v>
      </c>
      <c r="F70" s="1" t="s">
        <v>41</v>
      </c>
      <c r="G70" s="1" t="s">
        <v>42</v>
      </c>
      <c r="H70" s="13">
        <v>2.7545738295318101</v>
      </c>
      <c r="I70" s="10">
        <v>8.1633613445378103E-2</v>
      </c>
      <c r="J70" s="13">
        <v>4.13570228091237</v>
      </c>
      <c r="K70" s="10" t="s">
        <v>17</v>
      </c>
      <c r="L70" s="2" t="str">
        <f>_xlfn.XLOOKUP(D70,Products!A:A,Products!B:B)</f>
        <v>Office Chair</v>
      </c>
      <c r="M70" s="2" t="str">
        <f>_xlfn.XLOOKUP(D70,Products!A:A,Products!C:C)</f>
        <v>Furniture</v>
      </c>
      <c r="N70" s="2" t="str">
        <f>_xlfn.XLOOKUP(D70,Products!A:A,Products!D:D)</f>
        <v>Featherlite</v>
      </c>
      <c r="O70" s="2">
        <f>_xlfn.XLOOKUP(D70,Products!A:A,Products!E:E)</f>
        <v>4500</v>
      </c>
      <c r="P70" s="2">
        <f>_xlfn.XLOOKUP(D70,Products!A:A,Products!F:F)</f>
        <v>7500</v>
      </c>
      <c r="Q70" s="11">
        <f t="shared" si="5"/>
        <v>20659.303721488577</v>
      </c>
      <c r="R70" s="11">
        <f t="shared" si="6"/>
        <v>1686.4936140506597</v>
      </c>
      <c r="S70" s="11">
        <f t="shared" si="7"/>
        <v>18972.810107437916</v>
      </c>
      <c r="T70" s="11">
        <f t="shared" si="8"/>
        <v>12395.582232893144</v>
      </c>
      <c r="U70" s="11">
        <f t="shared" si="9"/>
        <v>6577.2278745447711</v>
      </c>
    </row>
    <row r="71" spans="1:21" x14ac:dyDescent="0.3">
      <c r="A71" s="1" t="s">
        <v>123</v>
      </c>
      <c r="B71" s="9">
        <v>46115</v>
      </c>
      <c r="C71" s="1" t="s">
        <v>36</v>
      </c>
      <c r="D71" s="1" t="s">
        <v>43</v>
      </c>
      <c r="E71" s="1" t="s">
        <v>44</v>
      </c>
      <c r="F71" s="1" t="s">
        <v>15</v>
      </c>
      <c r="G71" s="1" t="s">
        <v>23</v>
      </c>
      <c r="H71" s="13">
        <v>2.75812725090036</v>
      </c>
      <c r="I71" s="10">
        <v>8.1781512605042003E-2</v>
      </c>
      <c r="J71" s="13">
        <v>4.12364945978391</v>
      </c>
      <c r="K71" s="10" t="s">
        <v>17</v>
      </c>
      <c r="L71" s="2" t="str">
        <f>_xlfn.XLOOKUP(D71,Products!A:A,Products!B:B)</f>
        <v>Smartphone</v>
      </c>
      <c r="M71" s="2" t="str">
        <f>_xlfn.XLOOKUP(D71,Products!A:A,Products!C:C)</f>
        <v>Electronics</v>
      </c>
      <c r="N71" s="2" t="str">
        <f>_xlfn.XLOOKUP(D71,Products!A:A,Products!D:D)</f>
        <v>Samsung</v>
      </c>
      <c r="O71" s="2">
        <f>_xlfn.XLOOKUP(D71,Products!A:A,Products!E:E)</f>
        <v>14000</v>
      </c>
      <c r="P71" s="2">
        <f>_xlfn.XLOOKUP(D71,Products!A:A,Products!F:F)</f>
        <v>22000</v>
      </c>
      <c r="Q71" s="11">
        <f t="shared" si="5"/>
        <v>60678.799519807922</v>
      </c>
      <c r="R71" s="11">
        <f t="shared" si="6"/>
        <v>4962.4040077879881</v>
      </c>
      <c r="S71" s="11">
        <f t="shared" si="7"/>
        <v>55716.395512019932</v>
      </c>
      <c r="T71" s="11">
        <f t="shared" si="8"/>
        <v>38613.781512605041</v>
      </c>
      <c r="U71" s="11">
        <f t="shared" si="9"/>
        <v>17102.613999414891</v>
      </c>
    </row>
    <row r="72" spans="1:21" x14ac:dyDescent="0.3">
      <c r="A72" s="1" t="s">
        <v>124</v>
      </c>
      <c r="B72" s="9">
        <v>46116</v>
      </c>
      <c r="C72" s="1" t="s">
        <v>46</v>
      </c>
      <c r="D72" s="1" t="s">
        <v>47</v>
      </c>
      <c r="E72" s="1" t="s">
        <v>27</v>
      </c>
      <c r="F72" s="1" t="s">
        <v>22</v>
      </c>
      <c r="G72" s="1" t="s">
        <v>16</v>
      </c>
      <c r="H72" s="13">
        <v>2.76168067226891</v>
      </c>
      <c r="I72" s="10">
        <v>8.1929411764705903E-2</v>
      </c>
      <c r="J72" s="13">
        <v>4.1115966386554597</v>
      </c>
      <c r="K72" s="10" t="s">
        <v>48</v>
      </c>
      <c r="L72" s="2" t="str">
        <f>_xlfn.XLOOKUP(D72,Products!A:A,Products!B:B)</f>
        <v>Mixer Grinder</v>
      </c>
      <c r="M72" s="2" t="str">
        <f>_xlfn.XLOOKUP(D72,Products!A:A,Products!C:C)</f>
        <v>Home Appliances</v>
      </c>
      <c r="N72" s="2" t="str">
        <f>_xlfn.XLOOKUP(D72,Products!A:A,Products!D:D)</f>
        <v>Philips</v>
      </c>
      <c r="O72" s="2">
        <f>_xlfn.XLOOKUP(D72,Products!A:A,Products!E:E)</f>
        <v>2800</v>
      </c>
      <c r="P72" s="2">
        <f>_xlfn.XLOOKUP(D72,Products!A:A,Products!F:F)</f>
        <v>4800</v>
      </c>
      <c r="Q72" s="11">
        <f t="shared" si="5"/>
        <v>13256.067226890767</v>
      </c>
      <c r="R72" s="11">
        <f t="shared" si="6"/>
        <v>1086.0617902125568</v>
      </c>
      <c r="S72" s="11">
        <f t="shared" si="7"/>
        <v>12170.00543667821</v>
      </c>
      <c r="T72" s="11">
        <f t="shared" si="8"/>
        <v>7732.7058823529478</v>
      </c>
      <c r="U72" s="11">
        <f t="shared" si="9"/>
        <v>4437.2995543252619</v>
      </c>
    </row>
    <row r="73" spans="1:21" x14ac:dyDescent="0.3">
      <c r="A73" s="2" t="s">
        <v>125</v>
      </c>
      <c r="B73" s="6">
        <v>46116</v>
      </c>
      <c r="C73" s="2" t="s">
        <v>50</v>
      </c>
      <c r="D73" s="2" t="s">
        <v>51</v>
      </c>
      <c r="E73" s="2" t="s">
        <v>21</v>
      </c>
      <c r="F73" s="2" t="s">
        <v>52</v>
      </c>
      <c r="G73" s="2" t="s">
        <v>16</v>
      </c>
      <c r="H73" s="11">
        <v>2.7652340936374502</v>
      </c>
      <c r="I73" s="7">
        <v>8.2077310924369706E-2</v>
      </c>
      <c r="J73" s="11">
        <v>4.0995438175270102</v>
      </c>
      <c r="K73" s="2" t="s">
        <v>17</v>
      </c>
      <c r="L73" s="2" t="str">
        <f>_xlfn.XLOOKUP(D73,Products!A:A,Products!B:B)</f>
        <v>Shirt</v>
      </c>
      <c r="M73" s="2" t="str">
        <f>_xlfn.XLOOKUP(D73,Products!A:A,Products!C:C)</f>
        <v>Clothing</v>
      </c>
      <c r="N73" s="2" t="str">
        <f>_xlfn.XLOOKUP(D73,Products!A:A,Products!D:D)</f>
        <v>Levis</v>
      </c>
      <c r="O73" s="2">
        <f>_xlfn.XLOOKUP(D73,Products!A:A,Products!E:E)</f>
        <v>700</v>
      </c>
      <c r="P73" s="2">
        <f>_xlfn.XLOOKUP(D73,Products!A:A,Products!F:F)</f>
        <v>1500</v>
      </c>
      <c r="Q73" s="11">
        <f t="shared" si="5"/>
        <v>4147.851140456175</v>
      </c>
      <c r="R73" s="11">
        <f t="shared" si="6"/>
        <v>340.44446772322294</v>
      </c>
      <c r="S73" s="11">
        <f t="shared" si="7"/>
        <v>3807.4066727329518</v>
      </c>
      <c r="T73" s="11">
        <f t="shared" si="8"/>
        <v>1935.6638655462152</v>
      </c>
      <c r="U73" s="11">
        <f t="shared" si="9"/>
        <v>1871.7428071867366</v>
      </c>
    </row>
    <row r="74" spans="1:21" x14ac:dyDescent="0.3">
      <c r="A74" s="2" t="s">
        <v>126</v>
      </c>
      <c r="B74" s="6">
        <v>46117</v>
      </c>
      <c r="C74" s="2" t="s">
        <v>54</v>
      </c>
      <c r="D74" s="2" t="s">
        <v>55</v>
      </c>
      <c r="E74" s="2" t="s">
        <v>38</v>
      </c>
      <c r="F74" s="2" t="s">
        <v>15</v>
      </c>
      <c r="G74" s="2" t="s">
        <v>29</v>
      </c>
      <c r="H74" s="11">
        <v>2.7687875150060002</v>
      </c>
      <c r="I74" s="7">
        <v>8.2225210084033606E-2</v>
      </c>
      <c r="J74" s="11">
        <v>4.08749099639856</v>
      </c>
      <c r="K74" s="2" t="s">
        <v>30</v>
      </c>
      <c r="L74" s="2" t="str">
        <f>_xlfn.XLOOKUP(D74,Products!A:A,Products!B:B)</f>
        <v>Sports Shoes</v>
      </c>
      <c r="M74" s="2" t="str">
        <f>_xlfn.XLOOKUP(D74,Products!A:A,Products!C:C)</f>
        <v>Sports</v>
      </c>
      <c r="N74" s="2" t="str">
        <f>_xlfn.XLOOKUP(D74,Products!A:A,Products!D:D)</f>
        <v>Nike</v>
      </c>
      <c r="O74" s="2">
        <f>_xlfn.XLOOKUP(D74,Products!A:A,Products!E:E)</f>
        <v>2200</v>
      </c>
      <c r="P74" s="2">
        <f>_xlfn.XLOOKUP(D74,Products!A:A,Products!F:F)</f>
        <v>4500</v>
      </c>
      <c r="Q74" s="11">
        <f t="shared" si="5"/>
        <v>12459.543817527001</v>
      </c>
      <c r="R74" s="11">
        <f t="shared" si="6"/>
        <v>1024.4886079473797</v>
      </c>
      <c r="S74" s="11">
        <f t="shared" si="7"/>
        <v>11435.055209579621</v>
      </c>
      <c r="T74" s="11">
        <f t="shared" si="8"/>
        <v>6091.3325330132002</v>
      </c>
      <c r="U74" s="11">
        <f t="shared" si="9"/>
        <v>5343.7226765664209</v>
      </c>
    </row>
    <row r="75" spans="1:21" x14ac:dyDescent="0.3">
      <c r="A75" s="2" t="s">
        <v>127</v>
      </c>
      <c r="B75" s="6">
        <v>46117</v>
      </c>
      <c r="C75" s="2" t="s">
        <v>57</v>
      </c>
      <c r="D75" s="2" t="s">
        <v>58</v>
      </c>
      <c r="E75" s="2" t="s">
        <v>44</v>
      </c>
      <c r="F75" s="2" t="s">
        <v>41</v>
      </c>
      <c r="G75" s="2" t="s">
        <v>23</v>
      </c>
      <c r="H75" s="11">
        <v>2.7723409363745501</v>
      </c>
      <c r="I75" s="7">
        <v>8.2373109243697507E-2</v>
      </c>
      <c r="J75" s="11">
        <v>4.0754381752701097</v>
      </c>
      <c r="K75" s="2" t="s">
        <v>17</v>
      </c>
      <c r="L75" s="2" t="str">
        <f>_xlfn.XLOOKUP(D75,Products!A:A,Products!B:B)</f>
        <v>Study Table</v>
      </c>
      <c r="M75" s="2" t="str">
        <f>_xlfn.XLOOKUP(D75,Products!A:A,Products!C:C)</f>
        <v>Furniture</v>
      </c>
      <c r="N75" s="2" t="str">
        <f>_xlfn.XLOOKUP(D75,Products!A:A,Products!D:D)</f>
        <v>Ikea</v>
      </c>
      <c r="O75" s="2">
        <f>_xlfn.XLOOKUP(D75,Products!A:A,Products!E:E)</f>
        <v>5000</v>
      </c>
      <c r="P75" s="2">
        <f>_xlfn.XLOOKUP(D75,Products!A:A,Products!F:F)</f>
        <v>8500</v>
      </c>
      <c r="Q75" s="11">
        <f t="shared" si="5"/>
        <v>23564.897959183676</v>
      </c>
      <c r="R75" s="11">
        <f t="shared" si="6"/>
        <v>1941.1139139084214</v>
      </c>
      <c r="S75" s="11">
        <f t="shared" si="7"/>
        <v>21623.784045275253</v>
      </c>
      <c r="T75" s="11">
        <f t="shared" si="8"/>
        <v>13861.70468187275</v>
      </c>
      <c r="U75" s="11">
        <f t="shared" si="9"/>
        <v>7762.0793634025031</v>
      </c>
    </row>
    <row r="76" spans="1:21" x14ac:dyDescent="0.3">
      <c r="A76" s="2" t="s">
        <v>128</v>
      </c>
      <c r="B76" s="6">
        <v>46118</v>
      </c>
      <c r="C76" s="2" t="s">
        <v>60</v>
      </c>
      <c r="D76" s="2" t="s">
        <v>13</v>
      </c>
      <c r="E76" s="2" t="s">
        <v>14</v>
      </c>
      <c r="F76" s="2" t="s">
        <v>22</v>
      </c>
      <c r="G76" s="2" t="s">
        <v>16</v>
      </c>
      <c r="H76" s="11">
        <v>2.7758943577431001</v>
      </c>
      <c r="I76" s="7">
        <v>8.2521008403361296E-2</v>
      </c>
      <c r="J76" s="11">
        <v>4.0633853541416602</v>
      </c>
      <c r="K76" s="2" t="s">
        <v>17</v>
      </c>
      <c r="L76" s="2" t="str">
        <f>_xlfn.XLOOKUP(D76,Products!A:A,Products!B:B)</f>
        <v>Laptop</v>
      </c>
      <c r="M76" s="2" t="str">
        <f>_xlfn.XLOOKUP(D76,Products!A:A,Products!C:C)</f>
        <v>Electronics</v>
      </c>
      <c r="N76" s="2" t="str">
        <f>_xlfn.XLOOKUP(D76,Products!A:A,Products!D:D)</f>
        <v>HP</v>
      </c>
      <c r="O76" s="2">
        <f>_xlfn.XLOOKUP(D76,Products!A:A,Products!E:E)</f>
        <v>42000</v>
      </c>
      <c r="P76" s="2">
        <f>_xlfn.XLOOKUP(D76,Products!A:A,Products!F:F)</f>
        <v>55000</v>
      </c>
      <c r="Q76" s="11">
        <f t="shared" si="5"/>
        <v>152674.1896758705</v>
      </c>
      <c r="R76" s="11">
        <f t="shared" si="6"/>
        <v>12598.828089218885</v>
      </c>
      <c r="S76" s="11">
        <f t="shared" si="7"/>
        <v>140075.36158665162</v>
      </c>
      <c r="T76" s="11">
        <f t="shared" si="8"/>
        <v>116587.5630252102</v>
      </c>
      <c r="U76" s="11">
        <f t="shared" si="9"/>
        <v>23487.798561441421</v>
      </c>
    </row>
    <row r="77" spans="1:21" x14ac:dyDescent="0.3">
      <c r="A77" s="2" t="s">
        <v>129</v>
      </c>
      <c r="B77" s="6">
        <v>46118</v>
      </c>
      <c r="C77" s="2" t="s">
        <v>62</v>
      </c>
      <c r="D77" s="2" t="s">
        <v>26</v>
      </c>
      <c r="E77" s="2" t="s">
        <v>27</v>
      </c>
      <c r="F77" s="2" t="s">
        <v>15</v>
      </c>
      <c r="G77" s="2" t="s">
        <v>42</v>
      </c>
      <c r="H77" s="11">
        <v>2.7794477791116399</v>
      </c>
      <c r="I77" s="7">
        <v>8.2668907563025196E-2</v>
      </c>
      <c r="J77" s="11">
        <v>4.0513325330132099</v>
      </c>
      <c r="K77" s="2" t="s">
        <v>17</v>
      </c>
      <c r="L77" s="2" t="str">
        <f>_xlfn.XLOOKUP(D77,Products!A:A,Products!B:B)</f>
        <v>Face Wash</v>
      </c>
      <c r="M77" s="2" t="str">
        <f>_xlfn.XLOOKUP(D77,Products!A:A,Products!C:C)</f>
        <v>Beauty</v>
      </c>
      <c r="N77" s="2" t="str">
        <f>_xlfn.XLOOKUP(D77,Products!A:A,Products!D:D)</f>
        <v>Nivea</v>
      </c>
      <c r="O77" s="2">
        <f>_xlfn.XLOOKUP(D77,Products!A:A,Products!E:E)</f>
        <v>180</v>
      </c>
      <c r="P77" s="2">
        <f>_xlfn.XLOOKUP(D77,Products!A:A,Products!F:F)</f>
        <v>350</v>
      </c>
      <c r="Q77" s="11">
        <f t="shared" si="5"/>
        <v>972.80672268907392</v>
      </c>
      <c r="R77" s="11">
        <f t="shared" si="6"/>
        <v>80.420869034672535</v>
      </c>
      <c r="S77" s="11">
        <f t="shared" si="7"/>
        <v>892.38585365440144</v>
      </c>
      <c r="T77" s="11">
        <f t="shared" si="8"/>
        <v>500.30060024009515</v>
      </c>
      <c r="U77" s="11">
        <f t="shared" si="9"/>
        <v>392.08525341430629</v>
      </c>
    </row>
    <row r="78" spans="1:21" x14ac:dyDescent="0.3">
      <c r="A78" s="2" t="s">
        <v>130</v>
      </c>
      <c r="B78" s="6">
        <v>46119</v>
      </c>
      <c r="C78" s="2" t="s">
        <v>64</v>
      </c>
      <c r="D78" s="2" t="s">
        <v>20</v>
      </c>
      <c r="E78" s="2" t="s">
        <v>21</v>
      </c>
      <c r="F78" s="2" t="s">
        <v>39</v>
      </c>
      <c r="G78" s="2" t="s">
        <v>23</v>
      </c>
      <c r="H78" s="11">
        <v>2.7830012004801898</v>
      </c>
      <c r="I78" s="7">
        <v>8.2816806722689096E-2</v>
      </c>
      <c r="J78" s="11">
        <v>4.0392797118847499</v>
      </c>
      <c r="K78" s="2" t="s">
        <v>17</v>
      </c>
      <c r="L78" s="2" t="str">
        <f>_xlfn.XLOOKUP(D78,Products!A:A,Products!B:B)</f>
        <v>Jeans</v>
      </c>
      <c r="M78" s="2" t="str">
        <f>_xlfn.XLOOKUP(D78,Products!A:A,Products!C:C)</f>
        <v>Clothing</v>
      </c>
      <c r="N78" s="2" t="str">
        <f>_xlfn.XLOOKUP(D78,Products!A:A,Products!D:D)</f>
        <v>Wrangler</v>
      </c>
      <c r="O78" s="2">
        <f>_xlfn.XLOOKUP(D78,Products!A:A,Products!E:E)</f>
        <v>1100</v>
      </c>
      <c r="P78" s="2">
        <f>_xlfn.XLOOKUP(D78,Products!A:A,Products!F:F)</f>
        <v>2200</v>
      </c>
      <c r="Q78" s="11">
        <f t="shared" si="5"/>
        <v>6122.6026410564173</v>
      </c>
      <c r="R78" s="11">
        <f t="shared" si="6"/>
        <v>507.05439956419514</v>
      </c>
      <c r="S78" s="11">
        <f t="shared" si="7"/>
        <v>5615.5482414922226</v>
      </c>
      <c r="T78" s="11">
        <f t="shared" si="8"/>
        <v>3061.3013205282086</v>
      </c>
      <c r="U78" s="11">
        <f t="shared" si="9"/>
        <v>2554.246920964014</v>
      </c>
    </row>
    <row r="79" spans="1:21" x14ac:dyDescent="0.3">
      <c r="A79" s="2" t="s">
        <v>131</v>
      </c>
      <c r="B79" s="6">
        <v>46119</v>
      </c>
      <c r="C79" s="2" t="s">
        <v>66</v>
      </c>
      <c r="D79" s="2" t="s">
        <v>37</v>
      </c>
      <c r="E79" s="2" t="s">
        <v>38</v>
      </c>
      <c r="F79" s="2" t="s">
        <v>15</v>
      </c>
      <c r="G79" s="2" t="s">
        <v>16</v>
      </c>
      <c r="H79" s="11">
        <v>2.7865546218487398</v>
      </c>
      <c r="I79" s="7">
        <v>8.2964705882352899E-2</v>
      </c>
      <c r="J79" s="11">
        <v>4.0272268907562996</v>
      </c>
      <c r="K79" s="2" t="s">
        <v>17</v>
      </c>
      <c r="L79" s="2" t="str">
        <f>_xlfn.XLOOKUP(D79,Products!A:A,Products!B:B)</f>
        <v>Headphones</v>
      </c>
      <c r="M79" s="2" t="str">
        <f>_xlfn.XLOOKUP(D79,Products!A:A,Products!C:C)</f>
        <v>Electronics</v>
      </c>
      <c r="N79" s="2" t="str">
        <f>_xlfn.XLOOKUP(D79,Products!A:A,Products!D:D)</f>
        <v>Sony</v>
      </c>
      <c r="O79" s="2">
        <f>_xlfn.XLOOKUP(D79,Products!A:A,Products!E:E)</f>
        <v>1800</v>
      </c>
      <c r="P79" s="2">
        <f>_xlfn.XLOOKUP(D79,Products!A:A,Products!F:F)</f>
        <v>3200</v>
      </c>
      <c r="Q79" s="11">
        <f t="shared" si="5"/>
        <v>8916.9747899159665</v>
      </c>
      <c r="R79" s="11">
        <f t="shared" si="6"/>
        <v>739.79419080573371</v>
      </c>
      <c r="S79" s="11">
        <f t="shared" si="7"/>
        <v>8177.1805991102328</v>
      </c>
      <c r="T79" s="11">
        <f t="shared" si="8"/>
        <v>5015.7983193277314</v>
      </c>
      <c r="U79" s="11">
        <f t="shared" si="9"/>
        <v>3161.3822797825014</v>
      </c>
    </row>
    <row r="80" spans="1:21" x14ac:dyDescent="0.3">
      <c r="A80" s="2" t="s">
        <v>132</v>
      </c>
      <c r="B80" s="6">
        <v>46120</v>
      </c>
      <c r="C80" s="2" t="s">
        <v>68</v>
      </c>
      <c r="D80" s="2" t="s">
        <v>40</v>
      </c>
      <c r="E80" s="2" t="s">
        <v>44</v>
      </c>
      <c r="F80" s="2" t="s">
        <v>22</v>
      </c>
      <c r="G80" s="2" t="s">
        <v>29</v>
      </c>
      <c r="H80" s="11">
        <v>2.7901080432172898</v>
      </c>
      <c r="I80" s="7">
        <v>8.3112605042016799E-2</v>
      </c>
      <c r="J80" s="11">
        <v>4.0151740696278502</v>
      </c>
      <c r="K80" s="2" t="s">
        <v>30</v>
      </c>
      <c r="L80" s="2" t="str">
        <f>_xlfn.XLOOKUP(D80,Products!A:A,Products!B:B)</f>
        <v>Office Chair</v>
      </c>
      <c r="M80" s="2" t="str">
        <f>_xlfn.XLOOKUP(D80,Products!A:A,Products!C:C)</f>
        <v>Furniture</v>
      </c>
      <c r="N80" s="2" t="str">
        <f>_xlfn.XLOOKUP(D80,Products!A:A,Products!D:D)</f>
        <v>Featherlite</v>
      </c>
      <c r="O80" s="2">
        <f>_xlfn.XLOOKUP(D80,Products!A:A,Products!E:E)</f>
        <v>4500</v>
      </c>
      <c r="P80" s="2">
        <f>_xlfn.XLOOKUP(D80,Products!A:A,Products!F:F)</f>
        <v>7500</v>
      </c>
      <c r="Q80" s="11">
        <f t="shared" si="5"/>
        <v>20925.810324129674</v>
      </c>
      <c r="R80" s="11">
        <f t="shared" si="6"/>
        <v>1739.1986086535471</v>
      </c>
      <c r="S80" s="11">
        <f t="shared" si="7"/>
        <v>19186.611715476127</v>
      </c>
      <c r="T80" s="11">
        <f t="shared" si="8"/>
        <v>12555.486194477804</v>
      </c>
      <c r="U80" s="11">
        <f t="shared" si="9"/>
        <v>6631.1255209983228</v>
      </c>
    </row>
    <row r="81" spans="1:21" x14ac:dyDescent="0.3">
      <c r="A81" s="2" t="s">
        <v>133</v>
      </c>
      <c r="B81" s="6">
        <v>46120</v>
      </c>
      <c r="C81" s="2" t="s">
        <v>12</v>
      </c>
      <c r="D81" s="2" t="s">
        <v>43</v>
      </c>
      <c r="E81" s="2" t="s">
        <v>14</v>
      </c>
      <c r="F81" s="2" t="s">
        <v>15</v>
      </c>
      <c r="G81" s="2" t="s">
        <v>16</v>
      </c>
      <c r="H81" s="11">
        <v>2.79366146458583</v>
      </c>
      <c r="I81" s="7">
        <v>8.3260504201680699E-2</v>
      </c>
      <c r="J81" s="11">
        <v>4.0031212484993999</v>
      </c>
      <c r="K81" s="2" t="s">
        <v>17</v>
      </c>
      <c r="L81" s="2" t="str">
        <f>_xlfn.XLOOKUP(D81,Products!A:A,Products!B:B)</f>
        <v>Smartphone</v>
      </c>
      <c r="M81" s="2" t="str">
        <f>_xlfn.XLOOKUP(D81,Products!A:A,Products!C:C)</f>
        <v>Electronics</v>
      </c>
      <c r="N81" s="2" t="str">
        <f>_xlfn.XLOOKUP(D81,Products!A:A,Products!D:D)</f>
        <v>Samsung</v>
      </c>
      <c r="O81" s="2">
        <f>_xlfn.XLOOKUP(D81,Products!A:A,Products!E:E)</f>
        <v>14000</v>
      </c>
      <c r="P81" s="2">
        <f>_xlfn.XLOOKUP(D81,Products!A:A,Products!F:F)</f>
        <v>22000</v>
      </c>
      <c r="Q81" s="11">
        <f t="shared" si="5"/>
        <v>61460.552220888261</v>
      </c>
      <c r="R81" s="11">
        <f t="shared" si="6"/>
        <v>5117.2365664248828</v>
      </c>
      <c r="S81" s="11">
        <f t="shared" si="7"/>
        <v>56343.315654463382</v>
      </c>
      <c r="T81" s="11">
        <f t="shared" si="8"/>
        <v>39111.260504201622</v>
      </c>
      <c r="U81" s="11">
        <f t="shared" si="9"/>
        <v>17232.05515026176</v>
      </c>
    </row>
    <row r="82" spans="1:21" x14ac:dyDescent="0.3">
      <c r="A82" s="2" t="s">
        <v>134</v>
      </c>
      <c r="B82" s="6">
        <v>46121</v>
      </c>
      <c r="C82" s="2" t="s">
        <v>19</v>
      </c>
      <c r="D82" s="2" t="s">
        <v>47</v>
      </c>
      <c r="E82" s="2" t="s">
        <v>27</v>
      </c>
      <c r="F82" s="2" t="s">
        <v>41</v>
      </c>
      <c r="G82" s="2" t="s">
        <v>23</v>
      </c>
      <c r="H82" s="11">
        <v>2.7972148859543799</v>
      </c>
      <c r="I82" s="7">
        <v>8.3408403361344502E-2</v>
      </c>
      <c r="J82" s="11">
        <v>3.99106842737095</v>
      </c>
      <c r="K82" s="2" t="s">
        <v>17</v>
      </c>
      <c r="L82" s="2" t="str">
        <f>_xlfn.XLOOKUP(D82,Products!A:A,Products!B:B)</f>
        <v>Mixer Grinder</v>
      </c>
      <c r="M82" s="2" t="str">
        <f>_xlfn.XLOOKUP(D82,Products!A:A,Products!C:C)</f>
        <v>Home Appliances</v>
      </c>
      <c r="N82" s="2" t="str">
        <f>_xlfn.XLOOKUP(D82,Products!A:A,Products!D:D)</f>
        <v>Philips</v>
      </c>
      <c r="O82" s="2">
        <f>_xlfn.XLOOKUP(D82,Products!A:A,Products!E:E)</f>
        <v>2800</v>
      </c>
      <c r="P82" s="2">
        <f>_xlfn.XLOOKUP(D82,Products!A:A,Products!F:F)</f>
        <v>4800</v>
      </c>
      <c r="Q82" s="11">
        <f t="shared" si="5"/>
        <v>13426.631452581023</v>
      </c>
      <c r="R82" s="11">
        <f t="shared" si="6"/>
        <v>1119.8938919809927</v>
      </c>
      <c r="S82" s="11">
        <f t="shared" si="7"/>
        <v>12306.73756060003</v>
      </c>
      <c r="T82" s="11">
        <f t="shared" si="8"/>
        <v>7832.201680672264</v>
      </c>
      <c r="U82" s="11">
        <f t="shared" si="9"/>
        <v>4474.5358799277656</v>
      </c>
    </row>
    <row r="83" spans="1:21" x14ac:dyDescent="0.3">
      <c r="A83" s="2" t="s">
        <v>135</v>
      </c>
      <c r="B83" s="6">
        <v>46121</v>
      </c>
      <c r="C83" s="2" t="s">
        <v>25</v>
      </c>
      <c r="D83" s="2" t="s">
        <v>51</v>
      </c>
      <c r="E83" s="2" t="s">
        <v>21</v>
      </c>
      <c r="F83" s="2" t="s">
        <v>52</v>
      </c>
      <c r="G83" s="2" t="s">
        <v>29</v>
      </c>
      <c r="H83" s="11">
        <v>2.8007683073229299</v>
      </c>
      <c r="I83" s="7">
        <v>8.3556302521008402E-2</v>
      </c>
      <c r="J83" s="11">
        <v>3.9790156062425002</v>
      </c>
      <c r="K83" s="2" t="s">
        <v>30</v>
      </c>
      <c r="L83" s="2" t="str">
        <f>_xlfn.XLOOKUP(D83,Products!A:A,Products!B:B)</f>
        <v>Shirt</v>
      </c>
      <c r="M83" s="2" t="str">
        <f>_xlfn.XLOOKUP(D83,Products!A:A,Products!C:C)</f>
        <v>Clothing</v>
      </c>
      <c r="N83" s="2" t="str">
        <f>_xlfn.XLOOKUP(D83,Products!A:A,Products!D:D)</f>
        <v>Levis</v>
      </c>
      <c r="O83" s="2">
        <f>_xlfn.XLOOKUP(D83,Products!A:A,Products!E:E)</f>
        <v>700</v>
      </c>
      <c r="P83" s="2">
        <f>_xlfn.XLOOKUP(D83,Products!A:A,Products!F:F)</f>
        <v>1500</v>
      </c>
      <c r="Q83" s="11">
        <f t="shared" si="5"/>
        <v>4201.1524609843946</v>
      </c>
      <c r="R83" s="11">
        <f t="shared" si="6"/>
        <v>351.03276596689102</v>
      </c>
      <c r="S83" s="11">
        <f t="shared" si="7"/>
        <v>3850.1196950175035</v>
      </c>
      <c r="T83" s="11">
        <f t="shared" si="8"/>
        <v>1960.5378151260509</v>
      </c>
      <c r="U83" s="11">
        <f t="shared" si="9"/>
        <v>1889.5818798914527</v>
      </c>
    </row>
    <row r="84" spans="1:21" x14ac:dyDescent="0.3">
      <c r="A84" s="2" t="s">
        <v>136</v>
      </c>
      <c r="B84" s="6">
        <v>46122</v>
      </c>
      <c r="C84" s="2" t="s">
        <v>32</v>
      </c>
      <c r="D84" s="2" t="s">
        <v>55</v>
      </c>
      <c r="E84" s="2" t="s">
        <v>38</v>
      </c>
      <c r="F84" s="2" t="s">
        <v>22</v>
      </c>
      <c r="G84" s="2" t="s">
        <v>16</v>
      </c>
      <c r="H84" s="11">
        <v>2.8043217286914799</v>
      </c>
      <c r="I84" s="7">
        <v>8.3704201680672302E-2</v>
      </c>
      <c r="J84" s="11">
        <v>3.9669627851140499</v>
      </c>
      <c r="K84" s="2" t="s">
        <v>17</v>
      </c>
      <c r="L84" s="2" t="str">
        <f>_xlfn.XLOOKUP(D84,Products!A:A,Products!B:B)</f>
        <v>Sports Shoes</v>
      </c>
      <c r="M84" s="2" t="str">
        <f>_xlfn.XLOOKUP(D84,Products!A:A,Products!C:C)</f>
        <v>Sports</v>
      </c>
      <c r="N84" s="2" t="str">
        <f>_xlfn.XLOOKUP(D84,Products!A:A,Products!D:D)</f>
        <v>Nike</v>
      </c>
      <c r="O84" s="2">
        <f>_xlfn.XLOOKUP(D84,Products!A:A,Products!E:E)</f>
        <v>2200</v>
      </c>
      <c r="P84" s="2">
        <f>_xlfn.XLOOKUP(D84,Products!A:A,Products!F:F)</f>
        <v>4500</v>
      </c>
      <c r="Q84" s="11">
        <f t="shared" si="5"/>
        <v>12619.447779111659</v>
      </c>
      <c r="R84" s="11">
        <f t="shared" si="6"/>
        <v>1056.3008020014745</v>
      </c>
      <c r="S84" s="11">
        <f t="shared" si="7"/>
        <v>11563.146977110184</v>
      </c>
      <c r="T84" s="11">
        <f t="shared" si="8"/>
        <v>6169.5078031212561</v>
      </c>
      <c r="U84" s="11">
        <f t="shared" si="9"/>
        <v>5393.6391739889277</v>
      </c>
    </row>
    <row r="85" spans="1:21" x14ac:dyDescent="0.3">
      <c r="A85" s="2" t="s">
        <v>137</v>
      </c>
      <c r="B85" s="6">
        <v>46122</v>
      </c>
      <c r="C85" s="2" t="s">
        <v>34</v>
      </c>
      <c r="D85" s="2" t="s">
        <v>58</v>
      </c>
      <c r="E85" s="2" t="s">
        <v>44</v>
      </c>
      <c r="F85" s="2" t="s">
        <v>15</v>
      </c>
      <c r="G85" s="2" t="s">
        <v>23</v>
      </c>
      <c r="H85" s="11">
        <v>2.8078751500600201</v>
      </c>
      <c r="I85" s="7">
        <v>8.3852100840336105E-2</v>
      </c>
      <c r="J85" s="11">
        <v>3.9549099639855898</v>
      </c>
      <c r="K85" s="2" t="s">
        <v>17</v>
      </c>
      <c r="L85" s="2" t="str">
        <f>_xlfn.XLOOKUP(D85,Products!A:A,Products!B:B)</f>
        <v>Study Table</v>
      </c>
      <c r="M85" s="2" t="str">
        <f>_xlfn.XLOOKUP(D85,Products!A:A,Products!C:C)</f>
        <v>Furniture</v>
      </c>
      <c r="N85" s="2" t="str">
        <f>_xlfn.XLOOKUP(D85,Products!A:A,Products!D:D)</f>
        <v>Ikea</v>
      </c>
      <c r="O85" s="2">
        <f>_xlfn.XLOOKUP(D85,Products!A:A,Products!E:E)</f>
        <v>5000</v>
      </c>
      <c r="P85" s="2">
        <f>_xlfn.XLOOKUP(D85,Products!A:A,Products!F:F)</f>
        <v>8500</v>
      </c>
      <c r="Q85" s="11">
        <f t="shared" si="5"/>
        <v>23866.938775510171</v>
      </c>
      <c r="R85" s="11">
        <f t="shared" si="6"/>
        <v>2001.2929569542068</v>
      </c>
      <c r="S85" s="11">
        <f t="shared" si="7"/>
        <v>21865.645818555964</v>
      </c>
      <c r="T85" s="11">
        <f t="shared" si="8"/>
        <v>14039.3757503001</v>
      </c>
      <c r="U85" s="11">
        <f t="shared" si="9"/>
        <v>7826.2700682558643</v>
      </c>
    </row>
    <row r="86" spans="1:21" x14ac:dyDescent="0.3">
      <c r="A86" s="2" t="s">
        <v>138</v>
      </c>
      <c r="B86" s="6">
        <v>46123</v>
      </c>
      <c r="C86" s="2" t="s">
        <v>36</v>
      </c>
      <c r="D86" s="2" t="s">
        <v>13</v>
      </c>
      <c r="E86" s="2" t="s">
        <v>14</v>
      </c>
      <c r="F86" s="2" t="s">
        <v>39</v>
      </c>
      <c r="G86" s="2" t="s">
        <v>16</v>
      </c>
      <c r="H86" s="11">
        <v>2.8114285714285701</v>
      </c>
      <c r="I86" s="7">
        <v>8.4000000000000005E-2</v>
      </c>
      <c r="J86" s="11">
        <v>3.94285714285714</v>
      </c>
      <c r="K86" s="2" t="s">
        <v>17</v>
      </c>
      <c r="L86" s="2" t="str">
        <f>_xlfn.XLOOKUP(D86,Products!A:A,Products!B:B)</f>
        <v>Laptop</v>
      </c>
      <c r="M86" s="2" t="str">
        <f>_xlfn.XLOOKUP(D86,Products!A:A,Products!C:C)</f>
        <v>Electronics</v>
      </c>
      <c r="N86" s="2" t="str">
        <f>_xlfn.XLOOKUP(D86,Products!A:A,Products!D:D)</f>
        <v>HP</v>
      </c>
      <c r="O86" s="2">
        <f>_xlfn.XLOOKUP(D86,Products!A:A,Products!E:E)</f>
        <v>42000</v>
      </c>
      <c r="P86" s="2">
        <f>_xlfn.XLOOKUP(D86,Products!A:A,Products!F:F)</f>
        <v>55000</v>
      </c>
      <c r="Q86" s="11">
        <f t="shared" si="5"/>
        <v>154628.57142857136</v>
      </c>
      <c r="R86" s="11">
        <f t="shared" si="6"/>
        <v>12988.799999999996</v>
      </c>
      <c r="S86" s="11">
        <f t="shared" si="7"/>
        <v>141639.77142857137</v>
      </c>
      <c r="T86" s="11">
        <f t="shared" si="8"/>
        <v>118079.99999999994</v>
      </c>
      <c r="U86" s="11">
        <f t="shared" si="9"/>
        <v>23559.771428571432</v>
      </c>
    </row>
    <row r="87" spans="1:21" x14ac:dyDescent="0.3">
      <c r="A87" s="2" t="s">
        <v>139</v>
      </c>
      <c r="B87" s="6">
        <v>46123</v>
      </c>
      <c r="C87" s="2" t="s">
        <v>46</v>
      </c>
      <c r="D87" s="2" t="s">
        <v>20</v>
      </c>
      <c r="E87" s="2" t="s">
        <v>27</v>
      </c>
      <c r="F87" s="2" t="s">
        <v>15</v>
      </c>
      <c r="G87" s="2" t="s">
        <v>29</v>
      </c>
      <c r="H87" s="11">
        <v>2.81498199279712</v>
      </c>
      <c r="I87" s="7">
        <v>8.4147899159663905E-2</v>
      </c>
      <c r="J87" s="11">
        <v>3.9308043217286901</v>
      </c>
      <c r="K87" s="2" t="s">
        <v>17</v>
      </c>
      <c r="L87" s="2" t="str">
        <f>_xlfn.XLOOKUP(D87,Products!A:A,Products!B:B)</f>
        <v>Jeans</v>
      </c>
      <c r="M87" s="2" t="str">
        <f>_xlfn.XLOOKUP(D87,Products!A:A,Products!C:C)</f>
        <v>Clothing</v>
      </c>
      <c r="N87" s="2" t="str">
        <f>_xlfn.XLOOKUP(D87,Products!A:A,Products!D:D)</f>
        <v>Wrangler</v>
      </c>
      <c r="O87" s="2">
        <f>_xlfn.XLOOKUP(D87,Products!A:A,Products!E:E)</f>
        <v>1100</v>
      </c>
      <c r="P87" s="2">
        <f>_xlfn.XLOOKUP(D87,Products!A:A,Products!F:F)</f>
        <v>2200</v>
      </c>
      <c r="Q87" s="11">
        <f t="shared" si="5"/>
        <v>6192.9603841536637</v>
      </c>
      <c r="R87" s="11">
        <f t="shared" si="6"/>
        <v>521.12460590555588</v>
      </c>
      <c r="S87" s="11">
        <f t="shared" si="7"/>
        <v>5671.835778248108</v>
      </c>
      <c r="T87" s="11">
        <f t="shared" si="8"/>
        <v>3096.4801920768318</v>
      </c>
      <c r="U87" s="11">
        <f t="shared" si="9"/>
        <v>2575.3555861712762</v>
      </c>
    </row>
    <row r="88" spans="1:21" x14ac:dyDescent="0.3">
      <c r="A88" s="2" t="s">
        <v>140</v>
      </c>
      <c r="B88" s="6">
        <v>46124</v>
      </c>
      <c r="C88" s="2" t="s">
        <v>50</v>
      </c>
      <c r="D88" s="2" t="s">
        <v>26</v>
      </c>
      <c r="E88" s="2" t="s">
        <v>21</v>
      </c>
      <c r="F88" s="2" t="s">
        <v>41</v>
      </c>
      <c r="G88" s="2" t="s">
        <v>23</v>
      </c>
      <c r="H88" s="11">
        <v>2.81853541416567</v>
      </c>
      <c r="I88" s="7">
        <v>8.4295798319327694E-2</v>
      </c>
      <c r="J88" s="11">
        <v>3.9187515006002398</v>
      </c>
      <c r="K88" s="2" t="s">
        <v>17</v>
      </c>
      <c r="L88" s="2" t="str">
        <f>_xlfn.XLOOKUP(D88,Products!A:A,Products!B:B)</f>
        <v>Face Wash</v>
      </c>
      <c r="M88" s="2" t="str">
        <f>_xlfn.XLOOKUP(D88,Products!A:A,Products!C:C)</f>
        <v>Beauty</v>
      </c>
      <c r="N88" s="2" t="str">
        <f>_xlfn.XLOOKUP(D88,Products!A:A,Products!D:D)</f>
        <v>Nivea</v>
      </c>
      <c r="O88" s="2">
        <f>_xlfn.XLOOKUP(D88,Products!A:A,Products!E:E)</f>
        <v>180</v>
      </c>
      <c r="P88" s="2">
        <f>_xlfn.XLOOKUP(D88,Products!A:A,Products!F:F)</f>
        <v>350</v>
      </c>
      <c r="Q88" s="11">
        <f t="shared" si="5"/>
        <v>986.48739495798452</v>
      </c>
      <c r="R88" s="11">
        <f t="shared" si="6"/>
        <v>83.15674248993723</v>
      </c>
      <c r="S88" s="11">
        <f t="shared" si="7"/>
        <v>903.33065246804733</v>
      </c>
      <c r="T88" s="11">
        <f t="shared" si="8"/>
        <v>507.33637454982062</v>
      </c>
      <c r="U88" s="11">
        <f t="shared" si="9"/>
        <v>395.99427791822671</v>
      </c>
    </row>
    <row r="89" spans="1:21" x14ac:dyDescent="0.3">
      <c r="A89" s="2" t="s">
        <v>141</v>
      </c>
      <c r="B89" s="6">
        <v>46124</v>
      </c>
      <c r="C89" s="2" t="s">
        <v>54</v>
      </c>
      <c r="D89" s="2" t="s">
        <v>37</v>
      </c>
      <c r="E89" s="2" t="s">
        <v>38</v>
      </c>
      <c r="F89" s="2" t="s">
        <v>22</v>
      </c>
      <c r="G89" s="2" t="s">
        <v>16</v>
      </c>
      <c r="H89" s="11">
        <v>2.8220888355342102</v>
      </c>
      <c r="I89" s="7">
        <v>8.4443697478991595E-2</v>
      </c>
      <c r="J89" s="11">
        <v>3.9066986794717899</v>
      </c>
      <c r="K89" s="2" t="s">
        <v>30</v>
      </c>
      <c r="L89" s="2" t="str">
        <f>_xlfn.XLOOKUP(D89,Products!A:A,Products!B:B)</f>
        <v>Headphones</v>
      </c>
      <c r="M89" s="2" t="str">
        <f>_xlfn.XLOOKUP(D89,Products!A:A,Products!C:C)</f>
        <v>Electronics</v>
      </c>
      <c r="N89" s="2" t="str">
        <f>_xlfn.XLOOKUP(D89,Products!A:A,Products!D:D)</f>
        <v>Sony</v>
      </c>
      <c r="O89" s="2">
        <f>_xlfn.XLOOKUP(D89,Products!A:A,Products!E:E)</f>
        <v>1800</v>
      </c>
      <c r="P89" s="2">
        <f>_xlfn.XLOOKUP(D89,Products!A:A,Products!F:F)</f>
        <v>3200</v>
      </c>
      <c r="Q89" s="11">
        <f t="shared" si="5"/>
        <v>9030.6842737094721</v>
      </c>
      <c r="R89" s="11">
        <f t="shared" si="6"/>
        <v>762.58437083740955</v>
      </c>
      <c r="S89" s="11">
        <f t="shared" si="7"/>
        <v>8268.0999028720616</v>
      </c>
      <c r="T89" s="11">
        <f t="shared" si="8"/>
        <v>5079.7599039615779</v>
      </c>
      <c r="U89" s="11">
        <f t="shared" si="9"/>
        <v>3188.3399989104837</v>
      </c>
    </row>
    <row r="90" spans="1:21" x14ac:dyDescent="0.3">
      <c r="A90" s="2" t="s">
        <v>142</v>
      </c>
      <c r="B90" s="6">
        <v>46125</v>
      </c>
      <c r="C90" s="2" t="s">
        <v>57</v>
      </c>
      <c r="D90" s="2" t="s">
        <v>40</v>
      </c>
      <c r="E90" s="2" t="s">
        <v>44</v>
      </c>
      <c r="F90" s="2" t="s">
        <v>15</v>
      </c>
      <c r="G90" s="2" t="s">
        <v>42</v>
      </c>
      <c r="H90" s="11">
        <v>2.8256422569027602</v>
      </c>
      <c r="I90" s="7">
        <v>8.4591596638655495E-2</v>
      </c>
      <c r="J90" s="11">
        <v>3.8946458583433401</v>
      </c>
      <c r="K90" s="2" t="s">
        <v>17</v>
      </c>
      <c r="L90" s="2" t="str">
        <f>_xlfn.XLOOKUP(D90,Products!A:A,Products!B:B)</f>
        <v>Office Chair</v>
      </c>
      <c r="M90" s="2" t="str">
        <f>_xlfn.XLOOKUP(D90,Products!A:A,Products!C:C)</f>
        <v>Furniture</v>
      </c>
      <c r="N90" s="2" t="str">
        <f>_xlfn.XLOOKUP(D90,Products!A:A,Products!D:D)</f>
        <v>Featherlite</v>
      </c>
      <c r="O90" s="2">
        <f>_xlfn.XLOOKUP(D90,Products!A:A,Products!E:E)</f>
        <v>4500</v>
      </c>
      <c r="P90" s="2">
        <f>_xlfn.XLOOKUP(D90,Products!A:A,Products!F:F)</f>
        <v>7500</v>
      </c>
      <c r="Q90" s="11">
        <f t="shared" si="5"/>
        <v>21192.316926770702</v>
      </c>
      <c r="R90" s="11">
        <f t="shared" si="6"/>
        <v>1792.6919253079384</v>
      </c>
      <c r="S90" s="11">
        <f t="shared" si="7"/>
        <v>19399.625001462762</v>
      </c>
      <c r="T90" s="11">
        <f t="shared" si="8"/>
        <v>12715.39015606242</v>
      </c>
      <c r="U90" s="11">
        <f t="shared" si="9"/>
        <v>6684.2348454003422</v>
      </c>
    </row>
    <row r="91" spans="1:21" x14ac:dyDescent="0.3">
      <c r="A91" s="2" t="s">
        <v>143</v>
      </c>
      <c r="B91" s="6">
        <v>46125</v>
      </c>
      <c r="C91" s="2" t="s">
        <v>60</v>
      </c>
      <c r="D91" s="2" t="s">
        <v>47</v>
      </c>
      <c r="E91" s="2" t="s">
        <v>14</v>
      </c>
      <c r="F91" s="2" t="s">
        <v>52</v>
      </c>
      <c r="G91" s="2" t="s">
        <v>16</v>
      </c>
      <c r="H91" s="11">
        <v>2.8291956782713101</v>
      </c>
      <c r="I91" s="7">
        <v>8.4739495798319298E-2</v>
      </c>
      <c r="J91" s="11">
        <v>3.8825930372148898</v>
      </c>
      <c r="K91" s="2" t="s">
        <v>17</v>
      </c>
      <c r="L91" s="2" t="str">
        <f>_xlfn.XLOOKUP(D91,Products!A:A,Products!B:B)</f>
        <v>Mixer Grinder</v>
      </c>
      <c r="M91" s="2" t="str">
        <f>_xlfn.XLOOKUP(D91,Products!A:A,Products!C:C)</f>
        <v>Home Appliances</v>
      </c>
      <c r="N91" s="2" t="str">
        <f>_xlfn.XLOOKUP(D91,Products!A:A,Products!D:D)</f>
        <v>Philips</v>
      </c>
      <c r="O91" s="2">
        <f>_xlfn.XLOOKUP(D91,Products!A:A,Products!E:E)</f>
        <v>2800</v>
      </c>
      <c r="P91" s="2">
        <f>_xlfn.XLOOKUP(D91,Products!A:A,Products!F:F)</f>
        <v>4800</v>
      </c>
      <c r="Q91" s="11">
        <f t="shared" si="5"/>
        <v>13580.139255702288</v>
      </c>
      <c r="R91" s="11">
        <f t="shared" si="6"/>
        <v>1150.774153399175</v>
      </c>
      <c r="S91" s="11">
        <f t="shared" si="7"/>
        <v>12429.365102303113</v>
      </c>
      <c r="T91" s="11">
        <f t="shared" si="8"/>
        <v>7921.7478991596681</v>
      </c>
      <c r="U91" s="11">
        <f t="shared" si="9"/>
        <v>4507.6172031434444</v>
      </c>
    </row>
    <row r="92" spans="1:21" x14ac:dyDescent="0.3">
      <c r="A92" s="2" t="s">
        <v>144</v>
      </c>
      <c r="B92" s="6">
        <v>46126</v>
      </c>
      <c r="C92" s="2" t="s">
        <v>62</v>
      </c>
      <c r="D92" s="2" t="s">
        <v>43</v>
      </c>
      <c r="E92" s="2" t="s">
        <v>27</v>
      </c>
      <c r="F92" s="2" t="s">
        <v>22</v>
      </c>
      <c r="G92" s="2" t="s">
        <v>23</v>
      </c>
      <c r="H92" s="11">
        <v>2.8327490996398499</v>
      </c>
      <c r="I92" s="7">
        <v>8.4887394957983198E-2</v>
      </c>
      <c r="J92" s="11">
        <v>3.8705402160864399</v>
      </c>
      <c r="K92" s="2" t="s">
        <v>17</v>
      </c>
      <c r="L92" s="2" t="str">
        <f>_xlfn.XLOOKUP(D92,Products!A:A,Products!B:B)</f>
        <v>Smartphone</v>
      </c>
      <c r="M92" s="2" t="str">
        <f>_xlfn.XLOOKUP(D92,Products!A:A,Products!C:C)</f>
        <v>Electronics</v>
      </c>
      <c r="N92" s="2" t="str">
        <f>_xlfn.XLOOKUP(D92,Products!A:A,Products!D:D)</f>
        <v>Samsung</v>
      </c>
      <c r="O92" s="2">
        <f>_xlfn.XLOOKUP(D92,Products!A:A,Products!E:E)</f>
        <v>14000</v>
      </c>
      <c r="P92" s="2">
        <f>_xlfn.XLOOKUP(D92,Products!A:A,Products!F:F)</f>
        <v>22000</v>
      </c>
      <c r="Q92" s="11">
        <f t="shared" si="5"/>
        <v>62320.480192076699</v>
      </c>
      <c r="R92" s="11">
        <f t="shared" si="6"/>
        <v>5290.2232160359836</v>
      </c>
      <c r="S92" s="11">
        <f t="shared" si="7"/>
        <v>57030.256976040713</v>
      </c>
      <c r="T92" s="11">
        <f t="shared" si="8"/>
        <v>39658.487394957898</v>
      </c>
      <c r="U92" s="11">
        <f t="shared" si="9"/>
        <v>17371.769581082815</v>
      </c>
    </row>
    <row r="93" spans="1:21" x14ac:dyDescent="0.3">
      <c r="A93" s="2" t="s">
        <v>145</v>
      </c>
      <c r="B93" s="6">
        <v>46126</v>
      </c>
      <c r="C93" s="2" t="s">
        <v>64</v>
      </c>
      <c r="D93" s="2" t="s">
        <v>51</v>
      </c>
      <c r="E93" s="2" t="s">
        <v>21</v>
      </c>
      <c r="F93" s="2" t="s">
        <v>15</v>
      </c>
      <c r="G93" s="2" t="s">
        <v>29</v>
      </c>
      <c r="H93" s="11">
        <v>2.8363025210083999</v>
      </c>
      <c r="I93" s="7">
        <v>8.5035294117647098E-2</v>
      </c>
      <c r="J93" s="11">
        <v>3.8584873949579799</v>
      </c>
      <c r="K93" s="2" t="s">
        <v>48</v>
      </c>
      <c r="L93" s="2" t="str">
        <f>_xlfn.XLOOKUP(D93,Products!A:A,Products!B:B)</f>
        <v>Shirt</v>
      </c>
      <c r="M93" s="2" t="str">
        <f>_xlfn.XLOOKUP(D93,Products!A:A,Products!C:C)</f>
        <v>Clothing</v>
      </c>
      <c r="N93" s="2" t="str">
        <f>_xlfn.XLOOKUP(D93,Products!A:A,Products!D:D)</f>
        <v>Levis</v>
      </c>
      <c r="O93" s="2">
        <f>_xlfn.XLOOKUP(D93,Products!A:A,Products!E:E)</f>
        <v>700</v>
      </c>
      <c r="P93" s="2">
        <f>_xlfn.XLOOKUP(D93,Products!A:A,Products!F:F)</f>
        <v>1500</v>
      </c>
      <c r="Q93" s="11">
        <f t="shared" si="5"/>
        <v>4254.4537815125996</v>
      </c>
      <c r="R93" s="11">
        <f t="shared" si="6"/>
        <v>361.77872862085979</v>
      </c>
      <c r="S93" s="11">
        <f t="shared" si="7"/>
        <v>3892.6750528917396</v>
      </c>
      <c r="T93" s="11">
        <f t="shared" si="8"/>
        <v>1985.4117647058799</v>
      </c>
      <c r="U93" s="11">
        <f t="shared" si="9"/>
        <v>1907.2632881858597</v>
      </c>
    </row>
    <row r="94" spans="1:21" x14ac:dyDescent="0.3">
      <c r="A94" s="2" t="s">
        <v>146</v>
      </c>
      <c r="B94" s="6">
        <v>46127</v>
      </c>
      <c r="C94" s="2" t="s">
        <v>66</v>
      </c>
      <c r="D94" s="2" t="s">
        <v>55</v>
      </c>
      <c r="E94" s="2" t="s">
        <v>38</v>
      </c>
      <c r="F94" s="2" t="s">
        <v>39</v>
      </c>
      <c r="G94" s="2" t="s">
        <v>16</v>
      </c>
      <c r="H94" s="11">
        <v>2.8398559423769498</v>
      </c>
      <c r="I94" s="7">
        <v>8.5183193277310901E-2</v>
      </c>
      <c r="J94" s="11">
        <v>3.84643457382953</v>
      </c>
      <c r="K94" s="2" t="s">
        <v>17</v>
      </c>
      <c r="L94" s="2" t="str">
        <f>_xlfn.XLOOKUP(D94,Products!A:A,Products!B:B)</f>
        <v>Sports Shoes</v>
      </c>
      <c r="M94" s="2" t="str">
        <f>_xlfn.XLOOKUP(D94,Products!A:A,Products!C:C)</f>
        <v>Sports</v>
      </c>
      <c r="N94" s="2" t="str">
        <f>_xlfn.XLOOKUP(D94,Products!A:A,Products!D:D)</f>
        <v>Nike</v>
      </c>
      <c r="O94" s="2">
        <f>_xlfn.XLOOKUP(D94,Products!A:A,Products!E:E)</f>
        <v>2200</v>
      </c>
      <c r="P94" s="2">
        <f>_xlfn.XLOOKUP(D94,Products!A:A,Products!F:F)</f>
        <v>4500</v>
      </c>
      <c r="Q94" s="11">
        <f t="shared" si="5"/>
        <v>12779.351740696275</v>
      </c>
      <c r="R94" s="11">
        <f t="shared" si="6"/>
        <v>1088.5859892864703</v>
      </c>
      <c r="S94" s="11">
        <f t="shared" si="7"/>
        <v>11690.765751409805</v>
      </c>
      <c r="T94" s="11">
        <f t="shared" si="8"/>
        <v>6247.6830732292892</v>
      </c>
      <c r="U94" s="11">
        <f t="shared" si="9"/>
        <v>5443.0826781805154</v>
      </c>
    </row>
    <row r="95" spans="1:21" x14ac:dyDescent="0.3">
      <c r="A95" s="2" t="s">
        <v>147</v>
      </c>
      <c r="B95" s="6">
        <v>46127</v>
      </c>
      <c r="C95" s="2" t="s">
        <v>68</v>
      </c>
      <c r="D95" s="2" t="s">
        <v>58</v>
      </c>
      <c r="E95" s="2" t="s">
        <v>44</v>
      </c>
      <c r="F95" s="2" t="s">
        <v>41</v>
      </c>
      <c r="G95" s="2" t="s">
        <v>23</v>
      </c>
      <c r="H95" s="11">
        <v>2.8434093637454998</v>
      </c>
      <c r="I95" s="7">
        <v>8.5331092436974801E-2</v>
      </c>
      <c r="J95" s="11">
        <v>3.8343817527010802</v>
      </c>
      <c r="K95" s="2" t="s">
        <v>17</v>
      </c>
      <c r="L95" s="2" t="str">
        <f>_xlfn.XLOOKUP(D95,Products!A:A,Products!B:B)</f>
        <v>Study Table</v>
      </c>
      <c r="M95" s="2" t="str">
        <f>_xlfn.XLOOKUP(D95,Products!A:A,Products!C:C)</f>
        <v>Furniture</v>
      </c>
      <c r="N95" s="2" t="str">
        <f>_xlfn.XLOOKUP(D95,Products!A:A,Products!D:D)</f>
        <v>Ikea</v>
      </c>
      <c r="O95" s="2">
        <f>_xlfn.XLOOKUP(D95,Products!A:A,Products!E:E)</f>
        <v>5000</v>
      </c>
      <c r="P95" s="2">
        <f>_xlfn.XLOOKUP(D95,Products!A:A,Products!F:F)</f>
        <v>8500</v>
      </c>
      <c r="Q95" s="11">
        <f t="shared" si="5"/>
        <v>24168.979591836749</v>
      </c>
      <c r="R95" s="11">
        <f t="shared" si="6"/>
        <v>2062.3654316583793</v>
      </c>
      <c r="S95" s="11">
        <f t="shared" si="7"/>
        <v>22106.614160178371</v>
      </c>
      <c r="T95" s="11">
        <f t="shared" si="8"/>
        <v>14217.046818727498</v>
      </c>
      <c r="U95" s="11">
        <f t="shared" si="9"/>
        <v>7889.5673414508728</v>
      </c>
    </row>
    <row r="96" spans="1:21" x14ac:dyDescent="0.3">
      <c r="A96" s="2" t="s">
        <v>148</v>
      </c>
      <c r="B96" s="6">
        <v>46128</v>
      </c>
      <c r="C96" s="2" t="s">
        <v>12</v>
      </c>
      <c r="D96" s="2" t="s">
        <v>13</v>
      </c>
      <c r="E96" s="2" t="s">
        <v>14</v>
      </c>
      <c r="F96" s="2" t="s">
        <v>15</v>
      </c>
      <c r="G96" s="2" t="s">
        <v>16</v>
      </c>
      <c r="H96" s="11">
        <v>2.84696278511404</v>
      </c>
      <c r="I96" s="7">
        <v>8.5478991596638701E-2</v>
      </c>
      <c r="J96" s="11">
        <v>3.8223289315726299</v>
      </c>
      <c r="K96" s="2" t="s">
        <v>17</v>
      </c>
      <c r="L96" s="2" t="str">
        <f>_xlfn.XLOOKUP(D96,Products!A:A,Products!B:B)</f>
        <v>Laptop</v>
      </c>
      <c r="M96" s="2" t="str">
        <f>_xlfn.XLOOKUP(D96,Products!A:A,Products!C:C)</f>
        <v>Electronics</v>
      </c>
      <c r="N96" s="2" t="str">
        <f>_xlfn.XLOOKUP(D96,Products!A:A,Products!D:D)</f>
        <v>HP</v>
      </c>
      <c r="O96" s="2">
        <f>_xlfn.XLOOKUP(D96,Products!A:A,Products!E:E)</f>
        <v>42000</v>
      </c>
      <c r="P96" s="2">
        <f>_xlfn.XLOOKUP(D96,Products!A:A,Products!F:F)</f>
        <v>55000</v>
      </c>
      <c r="Q96" s="11">
        <f t="shared" si="5"/>
        <v>156582.9531812722</v>
      </c>
      <c r="R96" s="11">
        <f t="shared" si="6"/>
        <v>13384.552939158837</v>
      </c>
      <c r="S96" s="11">
        <f t="shared" si="7"/>
        <v>143198.40024211336</v>
      </c>
      <c r="T96" s="11">
        <f t="shared" si="8"/>
        <v>119572.43697478969</v>
      </c>
      <c r="U96" s="11">
        <f t="shared" si="9"/>
        <v>23625.963267323677</v>
      </c>
    </row>
    <row r="97" spans="1:21" x14ac:dyDescent="0.3">
      <c r="A97" s="2" t="s">
        <v>149</v>
      </c>
      <c r="B97" s="6">
        <v>46128</v>
      </c>
      <c r="C97" s="2" t="s">
        <v>19</v>
      </c>
      <c r="D97" s="2" t="s">
        <v>37</v>
      </c>
      <c r="E97" s="2" t="s">
        <v>27</v>
      </c>
      <c r="F97" s="2" t="s">
        <v>22</v>
      </c>
      <c r="G97" s="2" t="s">
        <v>29</v>
      </c>
      <c r="H97" s="11">
        <v>2.85051620648259</v>
      </c>
      <c r="I97" s="7">
        <v>8.5626890756302504E-2</v>
      </c>
      <c r="J97" s="11">
        <v>3.81027611044418</v>
      </c>
      <c r="K97" s="2" t="s">
        <v>30</v>
      </c>
      <c r="L97" s="2" t="str">
        <f>_xlfn.XLOOKUP(D97,Products!A:A,Products!B:B)</f>
        <v>Headphones</v>
      </c>
      <c r="M97" s="2" t="str">
        <f>_xlfn.XLOOKUP(D97,Products!A:A,Products!C:C)</f>
        <v>Electronics</v>
      </c>
      <c r="N97" s="2" t="str">
        <f>_xlfn.XLOOKUP(D97,Products!A:A,Products!D:D)</f>
        <v>Sony</v>
      </c>
      <c r="O97" s="2">
        <f>_xlfn.XLOOKUP(D97,Products!A:A,Products!E:E)</f>
        <v>1800</v>
      </c>
      <c r="P97" s="2">
        <f>_xlfn.XLOOKUP(D97,Products!A:A,Products!F:F)</f>
        <v>3200</v>
      </c>
      <c r="Q97" s="11">
        <f t="shared" si="5"/>
        <v>9121.6518607442886</v>
      </c>
      <c r="R97" s="11">
        <f t="shared" si="6"/>
        <v>781.05868739697462</v>
      </c>
      <c r="S97" s="11">
        <f t="shared" si="7"/>
        <v>8340.5931733473135</v>
      </c>
      <c r="T97" s="11">
        <f t="shared" si="8"/>
        <v>5130.9291716686621</v>
      </c>
      <c r="U97" s="11">
        <f t="shared" si="9"/>
        <v>3209.6640016786514</v>
      </c>
    </row>
    <row r="98" spans="1:21" x14ac:dyDescent="0.3">
      <c r="A98" s="2" t="s">
        <v>150</v>
      </c>
      <c r="B98" s="6">
        <v>46129</v>
      </c>
      <c r="C98" s="2" t="s">
        <v>25</v>
      </c>
      <c r="D98" s="2" t="s">
        <v>20</v>
      </c>
      <c r="E98" s="2" t="s">
        <v>21</v>
      </c>
      <c r="F98" s="2" t="s">
        <v>39</v>
      </c>
      <c r="G98" s="2" t="s">
        <v>23</v>
      </c>
      <c r="H98" s="11">
        <v>2.8540696278511399</v>
      </c>
      <c r="I98" s="7">
        <v>8.5774789915966404E-2</v>
      </c>
      <c r="J98" s="11">
        <v>3.7982232893157302</v>
      </c>
      <c r="K98" s="2" t="s">
        <v>17</v>
      </c>
      <c r="L98" s="2" t="str">
        <f>_xlfn.XLOOKUP(D98,Products!A:A,Products!B:B)</f>
        <v>Jeans</v>
      </c>
      <c r="M98" s="2" t="str">
        <f>_xlfn.XLOOKUP(D98,Products!A:A,Products!C:C)</f>
        <v>Clothing</v>
      </c>
      <c r="N98" s="2" t="str">
        <f>_xlfn.XLOOKUP(D98,Products!A:A,Products!D:D)</f>
        <v>Wrangler</v>
      </c>
      <c r="O98" s="2">
        <f>_xlfn.XLOOKUP(D98,Products!A:A,Products!E:E)</f>
        <v>1100</v>
      </c>
      <c r="P98" s="2">
        <f>_xlfn.XLOOKUP(D98,Products!A:A,Products!F:F)</f>
        <v>2200</v>
      </c>
      <c r="Q98" s="11">
        <f t="shared" si="5"/>
        <v>6278.9531812725081</v>
      </c>
      <c r="R98" s="11">
        <f t="shared" si="6"/>
        <v>538.57589001583835</v>
      </c>
      <c r="S98" s="11">
        <f t="shared" si="7"/>
        <v>5740.3772912566701</v>
      </c>
      <c r="T98" s="11">
        <f t="shared" si="8"/>
        <v>3139.4765906362541</v>
      </c>
      <c r="U98" s="11">
        <f t="shared" si="9"/>
        <v>2600.900700620416</v>
      </c>
    </row>
    <row r="99" spans="1:21" x14ac:dyDescent="0.3">
      <c r="A99" s="2" t="s">
        <v>151</v>
      </c>
      <c r="B99" s="6">
        <v>46129</v>
      </c>
      <c r="C99" s="2" t="s">
        <v>32</v>
      </c>
      <c r="D99" s="2" t="s">
        <v>40</v>
      </c>
      <c r="E99" s="2" t="s">
        <v>38</v>
      </c>
      <c r="F99" s="2" t="s">
        <v>15</v>
      </c>
      <c r="G99" s="2" t="s">
        <v>16</v>
      </c>
      <c r="H99" s="11">
        <v>2.8576230492196899</v>
      </c>
      <c r="I99" s="7">
        <v>8.5922689075630193E-2</v>
      </c>
      <c r="J99" s="11">
        <v>3.7861704681872799</v>
      </c>
      <c r="K99" s="2" t="s">
        <v>17</v>
      </c>
      <c r="L99" s="2" t="str">
        <f>_xlfn.XLOOKUP(D99,Products!A:A,Products!B:B)</f>
        <v>Office Chair</v>
      </c>
      <c r="M99" s="2" t="str">
        <f>_xlfn.XLOOKUP(D99,Products!A:A,Products!C:C)</f>
        <v>Furniture</v>
      </c>
      <c r="N99" s="2" t="str">
        <f>_xlfn.XLOOKUP(D99,Products!A:A,Products!D:D)</f>
        <v>Featherlite</v>
      </c>
      <c r="O99" s="2">
        <f>_xlfn.XLOOKUP(D99,Products!A:A,Products!E:E)</f>
        <v>4500</v>
      </c>
      <c r="P99" s="2">
        <f>_xlfn.XLOOKUP(D99,Products!A:A,Products!F:F)</f>
        <v>7500</v>
      </c>
      <c r="Q99" s="11">
        <f t="shared" si="5"/>
        <v>21432.172869147675</v>
      </c>
      <c r="R99" s="11">
        <f t="shared" si="6"/>
        <v>1841.5099256509327</v>
      </c>
      <c r="S99" s="11">
        <f t="shared" si="7"/>
        <v>19590.662943496744</v>
      </c>
      <c r="T99" s="11">
        <f t="shared" si="8"/>
        <v>12859.303721488604</v>
      </c>
      <c r="U99" s="11">
        <f t="shared" si="9"/>
        <v>6731.3592220081391</v>
      </c>
    </row>
    <row r="100" spans="1:21" x14ac:dyDescent="0.3">
      <c r="A100" s="2" t="s">
        <v>152</v>
      </c>
      <c r="B100" s="6">
        <v>46130</v>
      </c>
      <c r="C100" s="2" t="s">
        <v>34</v>
      </c>
      <c r="D100" s="2" t="s">
        <v>26</v>
      </c>
      <c r="E100" s="2" t="s">
        <v>44</v>
      </c>
      <c r="F100" s="2" t="s">
        <v>22</v>
      </c>
      <c r="G100" s="2" t="s">
        <v>42</v>
      </c>
      <c r="H100" s="11">
        <v>2.8611764705882301</v>
      </c>
      <c r="I100" s="7">
        <v>8.6070588235294093E-2</v>
      </c>
      <c r="J100" s="11">
        <v>3.7741176470588198</v>
      </c>
      <c r="K100" s="2" t="s">
        <v>17</v>
      </c>
      <c r="L100" s="2" t="str">
        <f>_xlfn.XLOOKUP(D100,Products!A:A,Products!B:B)</f>
        <v>Face Wash</v>
      </c>
      <c r="M100" s="2" t="str">
        <f>_xlfn.XLOOKUP(D100,Products!A:A,Products!C:C)</f>
        <v>Beauty</v>
      </c>
      <c r="N100" s="2" t="str">
        <f>_xlfn.XLOOKUP(D100,Products!A:A,Products!D:D)</f>
        <v>Nivea</v>
      </c>
      <c r="O100" s="2">
        <f>_xlfn.XLOOKUP(D100,Products!A:A,Products!E:E)</f>
        <v>180</v>
      </c>
      <c r="P100" s="2">
        <f>_xlfn.XLOOKUP(D100,Products!A:A,Products!F:F)</f>
        <v>350</v>
      </c>
      <c r="Q100" s="11">
        <f t="shared" si="5"/>
        <v>1001.4117647058805</v>
      </c>
      <c r="R100" s="11">
        <f t="shared" si="6"/>
        <v>86.192099653979056</v>
      </c>
      <c r="S100" s="11">
        <f t="shared" si="7"/>
        <v>915.21966505190142</v>
      </c>
      <c r="T100" s="11">
        <f t="shared" si="8"/>
        <v>515.01176470588143</v>
      </c>
      <c r="U100" s="11">
        <f t="shared" si="9"/>
        <v>400.20790034601998</v>
      </c>
    </row>
    <row r="101" spans="1:21" x14ac:dyDescent="0.3">
      <c r="A101" s="2" t="s">
        <v>153</v>
      </c>
      <c r="B101" s="6">
        <v>46130</v>
      </c>
      <c r="C101" s="2" t="s">
        <v>36</v>
      </c>
      <c r="D101" s="2" t="s">
        <v>47</v>
      </c>
      <c r="E101" s="2" t="s">
        <v>14</v>
      </c>
      <c r="F101" s="2" t="s">
        <v>41</v>
      </c>
      <c r="G101" s="2" t="s">
        <v>23</v>
      </c>
      <c r="H101" s="11">
        <v>2.8647298919567801</v>
      </c>
      <c r="I101" s="7">
        <v>8.6218487394957993E-2</v>
      </c>
      <c r="J101" s="11">
        <v>3.7620648259303699</v>
      </c>
      <c r="K101" s="2" t="s">
        <v>17</v>
      </c>
      <c r="L101" s="2" t="str">
        <f>_xlfn.XLOOKUP(D101,Products!A:A,Products!B:B)</f>
        <v>Mixer Grinder</v>
      </c>
      <c r="M101" s="2" t="str">
        <f>_xlfn.XLOOKUP(D101,Products!A:A,Products!C:C)</f>
        <v>Home Appliances</v>
      </c>
      <c r="N101" s="2" t="str">
        <f>_xlfn.XLOOKUP(D101,Products!A:A,Products!D:D)</f>
        <v>Philips</v>
      </c>
      <c r="O101" s="2">
        <f>_xlfn.XLOOKUP(D101,Products!A:A,Products!E:E)</f>
        <v>2800</v>
      </c>
      <c r="P101" s="2">
        <f>_xlfn.XLOOKUP(D101,Products!A:A,Products!F:F)</f>
        <v>4800</v>
      </c>
      <c r="Q101" s="11">
        <f t="shared" si="5"/>
        <v>13750.703481392544</v>
      </c>
      <c r="R101" s="11">
        <f t="shared" si="6"/>
        <v>1185.5648547822479</v>
      </c>
      <c r="S101" s="11">
        <f t="shared" si="7"/>
        <v>12565.138626610296</v>
      </c>
      <c r="T101" s="11">
        <f t="shared" si="8"/>
        <v>8021.2436974789844</v>
      </c>
      <c r="U101" s="11">
        <f t="shared" si="9"/>
        <v>4543.894929131312</v>
      </c>
    </row>
    <row r="102" spans="1:21" x14ac:dyDescent="0.3">
      <c r="A102" s="2" t="s">
        <v>154</v>
      </c>
      <c r="B102" s="6">
        <v>46131</v>
      </c>
      <c r="C102" s="2" t="s">
        <v>46</v>
      </c>
      <c r="D102" s="2" t="s">
        <v>43</v>
      </c>
      <c r="E102" s="2" t="s">
        <v>27</v>
      </c>
      <c r="F102" s="2" t="s">
        <v>15</v>
      </c>
      <c r="G102" s="2" t="s">
        <v>16</v>
      </c>
      <c r="H102" s="11">
        <v>2.86828331332533</v>
      </c>
      <c r="I102" s="7">
        <v>8.6366386554621796E-2</v>
      </c>
      <c r="J102" s="11">
        <v>3.7500120048019201</v>
      </c>
      <c r="K102" s="2" t="s">
        <v>17</v>
      </c>
      <c r="L102" s="2" t="str">
        <f>_xlfn.XLOOKUP(D102,Products!A:A,Products!B:B)</f>
        <v>Smartphone</v>
      </c>
      <c r="M102" s="2" t="str">
        <f>_xlfn.XLOOKUP(D102,Products!A:A,Products!C:C)</f>
        <v>Electronics</v>
      </c>
      <c r="N102" s="2" t="str">
        <f>_xlfn.XLOOKUP(D102,Products!A:A,Products!D:D)</f>
        <v>Samsung</v>
      </c>
      <c r="O102" s="2">
        <f>_xlfn.XLOOKUP(D102,Products!A:A,Products!E:E)</f>
        <v>14000</v>
      </c>
      <c r="P102" s="2">
        <f>_xlfn.XLOOKUP(D102,Products!A:A,Products!F:F)</f>
        <v>22000</v>
      </c>
      <c r="Q102" s="11">
        <f t="shared" si="5"/>
        <v>63102.232893157263</v>
      </c>
      <c r="R102" s="11">
        <f t="shared" si="6"/>
        <v>5449.911838510191</v>
      </c>
      <c r="S102" s="11">
        <f t="shared" si="7"/>
        <v>57652.321054647073</v>
      </c>
      <c r="T102" s="11">
        <f t="shared" si="8"/>
        <v>40155.966386554617</v>
      </c>
      <c r="U102" s="11">
        <f t="shared" si="9"/>
        <v>17496.354668092456</v>
      </c>
    </row>
    <row r="103" spans="1:21" x14ac:dyDescent="0.3">
      <c r="A103" s="2" t="s">
        <v>155</v>
      </c>
      <c r="B103" s="6">
        <v>46131</v>
      </c>
      <c r="C103" s="2" t="s">
        <v>50</v>
      </c>
      <c r="D103" s="2" t="s">
        <v>51</v>
      </c>
      <c r="E103" s="2" t="s">
        <v>21</v>
      </c>
      <c r="F103" s="2" t="s">
        <v>52</v>
      </c>
      <c r="G103" s="2" t="s">
        <v>29</v>
      </c>
      <c r="H103" s="11">
        <v>2.87183673469388</v>
      </c>
      <c r="I103" s="7">
        <v>8.6514285714285696E-2</v>
      </c>
      <c r="J103" s="11">
        <v>3.7379591836734698</v>
      </c>
      <c r="K103" s="2" t="s">
        <v>30</v>
      </c>
      <c r="L103" s="2" t="str">
        <f>_xlfn.XLOOKUP(D103,Products!A:A,Products!B:B)</f>
        <v>Shirt</v>
      </c>
      <c r="M103" s="2" t="str">
        <f>_xlfn.XLOOKUP(D103,Products!A:A,Products!C:C)</f>
        <v>Clothing</v>
      </c>
      <c r="N103" s="2" t="str">
        <f>_xlfn.XLOOKUP(D103,Products!A:A,Products!D:D)</f>
        <v>Levis</v>
      </c>
      <c r="O103" s="2">
        <f>_xlfn.XLOOKUP(D103,Products!A:A,Products!E:E)</f>
        <v>700</v>
      </c>
      <c r="P103" s="2">
        <f>_xlfn.XLOOKUP(D103,Products!A:A,Products!F:F)</f>
        <v>1500</v>
      </c>
      <c r="Q103" s="11">
        <f t="shared" si="5"/>
        <v>4307.75510204082</v>
      </c>
      <c r="R103" s="11">
        <f t="shared" si="6"/>
        <v>372.68235568513143</v>
      </c>
      <c r="S103" s="11">
        <f t="shared" si="7"/>
        <v>3935.0727463556887</v>
      </c>
      <c r="T103" s="11">
        <f t="shared" si="8"/>
        <v>2010.285714285716</v>
      </c>
      <c r="U103" s="11">
        <f t="shared" si="9"/>
        <v>1924.7870320699726</v>
      </c>
    </row>
    <row r="104" spans="1:21" x14ac:dyDescent="0.3">
      <c r="A104" s="2" t="s">
        <v>156</v>
      </c>
      <c r="B104" s="6">
        <v>46132</v>
      </c>
      <c r="C104" s="2" t="s">
        <v>54</v>
      </c>
      <c r="D104" s="2" t="s">
        <v>55</v>
      </c>
      <c r="E104" s="2" t="s">
        <v>38</v>
      </c>
      <c r="F104" s="2" t="s">
        <v>22</v>
      </c>
      <c r="G104" s="2" t="s">
        <v>16</v>
      </c>
      <c r="H104" s="11">
        <v>2.8753901560624202</v>
      </c>
      <c r="I104" s="7">
        <v>8.6662184873949596E-2</v>
      </c>
      <c r="J104" s="11">
        <v>3.7259063625450199</v>
      </c>
      <c r="K104" s="2" t="s">
        <v>17</v>
      </c>
      <c r="L104" s="2" t="str">
        <f>_xlfn.XLOOKUP(D104,Products!A:A,Products!B:B)</f>
        <v>Sports Shoes</v>
      </c>
      <c r="M104" s="2" t="str">
        <f>_xlfn.XLOOKUP(D104,Products!A:A,Products!C:C)</f>
        <v>Sports</v>
      </c>
      <c r="N104" s="2" t="str">
        <f>_xlfn.XLOOKUP(D104,Products!A:A,Products!D:D)</f>
        <v>Nike</v>
      </c>
      <c r="O104" s="2">
        <f>_xlfn.XLOOKUP(D104,Products!A:A,Products!E:E)</f>
        <v>2200</v>
      </c>
      <c r="P104" s="2">
        <f>_xlfn.XLOOKUP(D104,Products!A:A,Products!F:F)</f>
        <v>4500</v>
      </c>
      <c r="Q104" s="11">
        <f t="shared" si="5"/>
        <v>12939.255702280891</v>
      </c>
      <c r="R104" s="11">
        <f t="shared" si="6"/>
        <v>1121.344169802373</v>
      </c>
      <c r="S104" s="11">
        <f t="shared" si="7"/>
        <v>11817.911532478518</v>
      </c>
      <c r="T104" s="11">
        <f t="shared" si="8"/>
        <v>6325.8583433373242</v>
      </c>
      <c r="U104" s="11">
        <f t="shared" si="9"/>
        <v>5492.0531891411938</v>
      </c>
    </row>
    <row r="105" spans="1:21" x14ac:dyDescent="0.3">
      <c r="A105" s="2" t="s">
        <v>157</v>
      </c>
      <c r="B105" s="6">
        <v>46132</v>
      </c>
      <c r="C105" s="2" t="s">
        <v>57</v>
      </c>
      <c r="D105" s="2" t="s">
        <v>58</v>
      </c>
      <c r="E105" s="2" t="s">
        <v>44</v>
      </c>
      <c r="F105" s="2" t="s">
        <v>15</v>
      </c>
      <c r="G105" s="2" t="s">
        <v>23</v>
      </c>
      <c r="H105" s="11">
        <v>2.8789435774309702</v>
      </c>
      <c r="I105" s="7">
        <v>8.6810084033613399E-2</v>
      </c>
      <c r="J105" s="11">
        <v>3.7138535414165701</v>
      </c>
      <c r="K105" s="2" t="s">
        <v>17</v>
      </c>
      <c r="L105" s="2" t="str">
        <f>_xlfn.XLOOKUP(D105,Products!A:A,Products!B:B)</f>
        <v>Study Table</v>
      </c>
      <c r="M105" s="2" t="str">
        <f>_xlfn.XLOOKUP(D105,Products!A:A,Products!C:C)</f>
        <v>Furniture</v>
      </c>
      <c r="N105" s="2" t="str">
        <f>_xlfn.XLOOKUP(D105,Products!A:A,Products!D:D)</f>
        <v>Ikea</v>
      </c>
      <c r="O105" s="2">
        <f>_xlfn.XLOOKUP(D105,Products!A:A,Products!E:E)</f>
        <v>5000</v>
      </c>
      <c r="P105" s="2">
        <f>_xlfn.XLOOKUP(D105,Products!A:A,Products!F:F)</f>
        <v>8500</v>
      </c>
      <c r="Q105" s="11">
        <f t="shared" si="5"/>
        <v>24471.020408163247</v>
      </c>
      <c r="R105" s="11">
        <f t="shared" si="6"/>
        <v>2124.3313380209202</v>
      </c>
      <c r="S105" s="11">
        <f t="shared" si="7"/>
        <v>22346.689070142325</v>
      </c>
      <c r="T105" s="11">
        <f t="shared" si="8"/>
        <v>14394.717887154851</v>
      </c>
      <c r="U105" s="11">
        <f t="shared" si="9"/>
        <v>7951.9711829874741</v>
      </c>
    </row>
    <row r="106" spans="1:21" x14ac:dyDescent="0.3">
      <c r="A106" s="2" t="s">
        <v>158</v>
      </c>
      <c r="B106" s="6">
        <v>46133</v>
      </c>
      <c r="C106" s="2" t="s">
        <v>60</v>
      </c>
      <c r="D106" s="2" t="s">
        <v>13</v>
      </c>
      <c r="E106" s="2" t="s">
        <v>14</v>
      </c>
      <c r="F106" s="2" t="s">
        <v>39</v>
      </c>
      <c r="G106" s="2" t="s">
        <v>16</v>
      </c>
      <c r="H106" s="11">
        <v>2.8824969987995201</v>
      </c>
      <c r="I106" s="7">
        <v>8.69579831932773E-2</v>
      </c>
      <c r="J106" s="11">
        <v>3.7018007202881198</v>
      </c>
      <c r="K106" s="2" t="s">
        <v>17</v>
      </c>
      <c r="L106" s="2" t="str">
        <f>_xlfn.XLOOKUP(D106,Products!A:A,Products!B:B)</f>
        <v>Laptop</v>
      </c>
      <c r="M106" s="2" t="str">
        <f>_xlfn.XLOOKUP(D106,Products!A:A,Products!C:C)</f>
        <v>Electronics</v>
      </c>
      <c r="N106" s="2" t="str">
        <f>_xlfn.XLOOKUP(D106,Products!A:A,Products!D:D)</f>
        <v>HP</v>
      </c>
      <c r="O106" s="2">
        <f>_xlfn.XLOOKUP(D106,Products!A:A,Products!E:E)</f>
        <v>42000</v>
      </c>
      <c r="P106" s="2">
        <f>_xlfn.XLOOKUP(D106,Products!A:A,Products!F:F)</f>
        <v>55000</v>
      </c>
      <c r="Q106" s="11">
        <f t="shared" si="5"/>
        <v>158537.33493397362</v>
      </c>
      <c r="R106" s="11">
        <f t="shared" si="6"/>
        <v>13786.086906695451</v>
      </c>
      <c r="S106" s="11">
        <f t="shared" si="7"/>
        <v>144751.24802727817</v>
      </c>
      <c r="T106" s="11">
        <f t="shared" si="8"/>
        <v>121064.87394957985</v>
      </c>
      <c r="U106" s="11">
        <f t="shared" si="9"/>
        <v>23686.374077698318</v>
      </c>
    </row>
    <row r="107" spans="1:21" x14ac:dyDescent="0.3">
      <c r="A107" s="2" t="s">
        <v>159</v>
      </c>
      <c r="B107" s="6">
        <v>46133</v>
      </c>
      <c r="C107" s="2" t="s">
        <v>62</v>
      </c>
      <c r="D107" s="2" t="s">
        <v>20</v>
      </c>
      <c r="E107" s="2" t="s">
        <v>27</v>
      </c>
      <c r="F107" s="2" t="s">
        <v>15</v>
      </c>
      <c r="G107" s="2" t="s">
        <v>29</v>
      </c>
      <c r="H107" s="11">
        <v>2.8860504201680599</v>
      </c>
      <c r="I107" s="7">
        <v>8.71058823529412E-2</v>
      </c>
      <c r="J107" s="11">
        <v>3.6897478991596602</v>
      </c>
      <c r="K107" s="2" t="s">
        <v>17</v>
      </c>
      <c r="L107" s="2" t="str">
        <f>_xlfn.XLOOKUP(D107,Products!A:A,Products!B:B)</f>
        <v>Jeans</v>
      </c>
      <c r="M107" s="2" t="str">
        <f>_xlfn.XLOOKUP(D107,Products!A:A,Products!C:C)</f>
        <v>Clothing</v>
      </c>
      <c r="N107" s="2" t="str">
        <f>_xlfn.XLOOKUP(D107,Products!A:A,Products!D:D)</f>
        <v>Wrangler</v>
      </c>
      <c r="O107" s="2">
        <f>_xlfn.XLOOKUP(D107,Products!A:A,Products!E:E)</f>
        <v>1100</v>
      </c>
      <c r="P107" s="2">
        <f>_xlfn.XLOOKUP(D107,Products!A:A,Products!F:F)</f>
        <v>2200</v>
      </c>
      <c r="Q107" s="11">
        <f t="shared" si="5"/>
        <v>6349.3109243697318</v>
      </c>
      <c r="R107" s="11">
        <f t="shared" si="6"/>
        <v>553.06233040039422</v>
      </c>
      <c r="S107" s="11">
        <f t="shared" si="7"/>
        <v>5796.2485939693379</v>
      </c>
      <c r="T107" s="11">
        <f t="shared" si="8"/>
        <v>3174.6554621848659</v>
      </c>
      <c r="U107" s="11">
        <f t="shared" si="9"/>
        <v>2621.593131784472</v>
      </c>
    </row>
    <row r="108" spans="1:21" x14ac:dyDescent="0.3">
      <c r="A108" s="2" t="s">
        <v>160</v>
      </c>
      <c r="B108" s="6">
        <v>46134</v>
      </c>
      <c r="C108" s="2" t="s">
        <v>64</v>
      </c>
      <c r="D108" s="2" t="s">
        <v>26</v>
      </c>
      <c r="E108" s="2" t="s">
        <v>21</v>
      </c>
      <c r="F108" s="2" t="s">
        <v>41</v>
      </c>
      <c r="G108" s="2" t="s">
        <v>23</v>
      </c>
      <c r="H108" s="11">
        <v>2.8896038415366099</v>
      </c>
      <c r="I108" s="7">
        <v>8.7253781512605003E-2</v>
      </c>
      <c r="J108" s="11">
        <v>3.6776950780312099</v>
      </c>
      <c r="K108" s="2" t="s">
        <v>17</v>
      </c>
      <c r="L108" s="2" t="str">
        <f>_xlfn.XLOOKUP(D108,Products!A:A,Products!B:B)</f>
        <v>Face Wash</v>
      </c>
      <c r="M108" s="2" t="str">
        <f>_xlfn.XLOOKUP(D108,Products!A:A,Products!C:C)</f>
        <v>Beauty</v>
      </c>
      <c r="N108" s="2" t="str">
        <f>_xlfn.XLOOKUP(D108,Products!A:A,Products!D:D)</f>
        <v>Nivea</v>
      </c>
      <c r="O108" s="2">
        <f>_xlfn.XLOOKUP(D108,Products!A:A,Products!E:E)</f>
        <v>180</v>
      </c>
      <c r="P108" s="2">
        <f>_xlfn.XLOOKUP(D108,Products!A:A,Products!F:F)</f>
        <v>350</v>
      </c>
      <c r="Q108" s="11">
        <f t="shared" si="5"/>
        <v>1011.3613445378135</v>
      </c>
      <c r="R108" s="11">
        <f t="shared" si="6"/>
        <v>88.245101786596805</v>
      </c>
      <c r="S108" s="11">
        <f t="shared" si="7"/>
        <v>923.11624275121665</v>
      </c>
      <c r="T108" s="11">
        <f t="shared" si="8"/>
        <v>520.12869147658978</v>
      </c>
      <c r="U108" s="11">
        <f t="shared" si="9"/>
        <v>402.98755127462687</v>
      </c>
    </row>
    <row r="109" spans="1:21" x14ac:dyDescent="0.3">
      <c r="A109" s="2" t="s">
        <v>161</v>
      </c>
      <c r="B109" s="6">
        <v>46134</v>
      </c>
      <c r="C109" s="2" t="s">
        <v>66</v>
      </c>
      <c r="D109" s="2" t="s">
        <v>37</v>
      </c>
      <c r="E109" s="2" t="s">
        <v>38</v>
      </c>
      <c r="F109" s="2" t="s">
        <v>22</v>
      </c>
      <c r="G109" s="2" t="s">
        <v>16</v>
      </c>
      <c r="H109" s="11">
        <v>2.8931572629051598</v>
      </c>
      <c r="I109" s="7">
        <v>8.7401680672268903E-2</v>
      </c>
      <c r="J109" s="11">
        <v>3.66564225690276</v>
      </c>
      <c r="K109" s="2" t="s">
        <v>30</v>
      </c>
      <c r="L109" s="2" t="str">
        <f>_xlfn.XLOOKUP(D109,Products!A:A,Products!B:B)</f>
        <v>Headphones</v>
      </c>
      <c r="M109" s="2" t="str">
        <f>_xlfn.XLOOKUP(D109,Products!A:A,Products!C:C)</f>
        <v>Electronics</v>
      </c>
      <c r="N109" s="2" t="str">
        <f>_xlfn.XLOOKUP(D109,Products!A:A,Products!D:D)</f>
        <v>Sony</v>
      </c>
      <c r="O109" s="2">
        <f>_xlfn.XLOOKUP(D109,Products!A:A,Products!E:E)</f>
        <v>1800</v>
      </c>
      <c r="P109" s="2">
        <f>_xlfn.XLOOKUP(D109,Products!A:A,Products!F:F)</f>
        <v>3200</v>
      </c>
      <c r="Q109" s="11">
        <f t="shared" si="5"/>
        <v>9258.1032412965124</v>
      </c>
      <c r="R109" s="11">
        <f t="shared" si="6"/>
        <v>809.17378312669541</v>
      </c>
      <c r="S109" s="11">
        <f t="shared" si="7"/>
        <v>8448.9294581698177</v>
      </c>
      <c r="T109" s="11">
        <f t="shared" si="8"/>
        <v>5207.6830732292874</v>
      </c>
      <c r="U109" s="11">
        <f t="shared" si="9"/>
        <v>3241.2463849405303</v>
      </c>
    </row>
    <row r="110" spans="1:21" x14ac:dyDescent="0.3">
      <c r="A110" s="2" t="s">
        <v>162</v>
      </c>
      <c r="B110" s="6">
        <v>46135</v>
      </c>
      <c r="C110" s="2" t="s">
        <v>68</v>
      </c>
      <c r="D110" s="2" t="s">
        <v>40</v>
      </c>
      <c r="E110" s="2" t="s">
        <v>44</v>
      </c>
      <c r="F110" s="2" t="s">
        <v>15</v>
      </c>
      <c r="G110" s="2" t="s">
        <v>42</v>
      </c>
      <c r="H110" s="11">
        <v>2.8967106842737098</v>
      </c>
      <c r="I110" s="7">
        <v>8.7549579831932803E-2</v>
      </c>
      <c r="J110" s="11">
        <v>3.6535894357743102</v>
      </c>
      <c r="K110" s="2" t="s">
        <v>17</v>
      </c>
      <c r="L110" s="2" t="str">
        <f>_xlfn.XLOOKUP(D110,Products!A:A,Products!B:B)</f>
        <v>Office Chair</v>
      </c>
      <c r="M110" s="2" t="str">
        <f>_xlfn.XLOOKUP(D110,Products!A:A,Products!C:C)</f>
        <v>Furniture</v>
      </c>
      <c r="N110" s="2" t="str">
        <f>_xlfn.XLOOKUP(D110,Products!A:A,Products!D:D)</f>
        <v>Featherlite</v>
      </c>
      <c r="O110" s="2">
        <f>_xlfn.XLOOKUP(D110,Products!A:A,Products!E:E)</f>
        <v>4500</v>
      </c>
      <c r="P110" s="2">
        <f>_xlfn.XLOOKUP(D110,Products!A:A,Products!F:F)</f>
        <v>7500</v>
      </c>
      <c r="Q110" s="11">
        <f t="shared" si="5"/>
        <v>21725.330132052823</v>
      </c>
      <c r="R110" s="11">
        <f t="shared" si="6"/>
        <v>1902.0435247712537</v>
      </c>
      <c r="S110" s="11">
        <f t="shared" si="7"/>
        <v>19823.28660728157</v>
      </c>
      <c r="T110" s="11">
        <f t="shared" si="8"/>
        <v>13035.198079231694</v>
      </c>
      <c r="U110" s="11">
        <f t="shared" si="9"/>
        <v>6788.0885280498769</v>
      </c>
    </row>
    <row r="111" spans="1:21" x14ac:dyDescent="0.3">
      <c r="A111" s="2" t="s">
        <v>163</v>
      </c>
      <c r="B111" s="6">
        <v>46135</v>
      </c>
      <c r="C111" s="2" t="s">
        <v>12</v>
      </c>
      <c r="D111" s="2" t="s">
        <v>47</v>
      </c>
      <c r="E111" s="2" t="s">
        <v>14</v>
      </c>
      <c r="F111" s="2" t="s">
        <v>52</v>
      </c>
      <c r="G111" s="2" t="s">
        <v>16</v>
      </c>
      <c r="H111" s="11">
        <v>2.90026410564225</v>
      </c>
      <c r="I111" s="7">
        <v>8.7697478991596606E-2</v>
      </c>
      <c r="J111" s="11">
        <v>3.6415366146458599</v>
      </c>
      <c r="K111" s="2" t="s">
        <v>17</v>
      </c>
      <c r="L111" s="2" t="str">
        <f>_xlfn.XLOOKUP(D111,Products!A:A,Products!B:B)</f>
        <v>Mixer Grinder</v>
      </c>
      <c r="M111" s="2" t="str">
        <f>_xlfn.XLOOKUP(D111,Products!A:A,Products!C:C)</f>
        <v>Home Appliances</v>
      </c>
      <c r="N111" s="2" t="str">
        <f>_xlfn.XLOOKUP(D111,Products!A:A,Products!D:D)</f>
        <v>Philips</v>
      </c>
      <c r="O111" s="2">
        <f>_xlfn.XLOOKUP(D111,Products!A:A,Products!E:E)</f>
        <v>2800</v>
      </c>
      <c r="P111" s="2">
        <f>_xlfn.XLOOKUP(D111,Products!A:A,Products!F:F)</f>
        <v>4800</v>
      </c>
      <c r="Q111" s="11">
        <f t="shared" si="5"/>
        <v>13921.267707082799</v>
      </c>
      <c r="R111" s="11">
        <f t="shared" si="6"/>
        <v>1220.860082278286</v>
      </c>
      <c r="S111" s="11">
        <f t="shared" si="7"/>
        <v>12700.407624804513</v>
      </c>
      <c r="T111" s="11">
        <f t="shared" si="8"/>
        <v>8120.7394957982997</v>
      </c>
      <c r="U111" s="11">
        <f t="shared" si="9"/>
        <v>4579.6681290062133</v>
      </c>
    </row>
    <row r="112" spans="1:21" x14ac:dyDescent="0.3">
      <c r="A112" s="2" t="s">
        <v>164</v>
      </c>
      <c r="B112" s="6">
        <v>46136</v>
      </c>
      <c r="C112" s="2" t="s">
        <v>19</v>
      </c>
      <c r="D112" s="2" t="s">
        <v>43</v>
      </c>
      <c r="E112" s="2" t="s">
        <v>27</v>
      </c>
      <c r="F112" s="2" t="s">
        <v>22</v>
      </c>
      <c r="G112" s="2" t="s">
        <v>23</v>
      </c>
      <c r="H112" s="11">
        <v>2.9038175270108</v>
      </c>
      <c r="I112" s="7">
        <v>8.7845378151260506E-2</v>
      </c>
      <c r="J112" s="11">
        <v>3.62948379351741</v>
      </c>
      <c r="K112" s="2" t="s">
        <v>17</v>
      </c>
      <c r="L112" s="2" t="str">
        <f>_xlfn.XLOOKUP(D112,Products!A:A,Products!B:B)</f>
        <v>Smartphone</v>
      </c>
      <c r="M112" s="2" t="str">
        <f>_xlfn.XLOOKUP(D112,Products!A:A,Products!C:C)</f>
        <v>Electronics</v>
      </c>
      <c r="N112" s="2" t="str">
        <f>_xlfn.XLOOKUP(D112,Products!A:A,Products!D:D)</f>
        <v>Samsung</v>
      </c>
      <c r="O112" s="2">
        <f>_xlfn.XLOOKUP(D112,Products!A:A,Products!E:E)</f>
        <v>14000</v>
      </c>
      <c r="P112" s="2">
        <f>_xlfn.XLOOKUP(D112,Products!A:A,Products!F:F)</f>
        <v>22000</v>
      </c>
      <c r="Q112" s="11">
        <f t="shared" si="5"/>
        <v>63883.985594237602</v>
      </c>
      <c r="R112" s="11">
        <f t="shared" si="6"/>
        <v>5611.9128723354806</v>
      </c>
      <c r="S112" s="11">
        <f t="shared" si="7"/>
        <v>58272.072721902121</v>
      </c>
      <c r="T112" s="11">
        <f t="shared" si="8"/>
        <v>40653.445378151198</v>
      </c>
      <c r="U112" s="11">
        <f t="shared" si="9"/>
        <v>17618.627343750923</v>
      </c>
    </row>
    <row r="113" spans="1:21" x14ac:dyDescent="0.3">
      <c r="A113" s="2" t="s">
        <v>165</v>
      </c>
      <c r="B113" s="6">
        <v>46136</v>
      </c>
      <c r="C113" s="2" t="s">
        <v>25</v>
      </c>
      <c r="D113" s="2" t="s">
        <v>51</v>
      </c>
      <c r="E113" s="2" t="s">
        <v>21</v>
      </c>
      <c r="F113" s="2" t="s">
        <v>15</v>
      </c>
      <c r="G113" s="2" t="s">
        <v>29</v>
      </c>
      <c r="H113" s="11">
        <v>2.90737094837935</v>
      </c>
      <c r="I113" s="7">
        <v>8.7993277310924406E-2</v>
      </c>
      <c r="J113" s="11">
        <v>3.6174309723889602</v>
      </c>
      <c r="K113" s="2" t="s">
        <v>17</v>
      </c>
      <c r="L113" s="2" t="str">
        <f>_xlfn.XLOOKUP(D113,Products!A:A,Products!B:B)</f>
        <v>Shirt</v>
      </c>
      <c r="M113" s="2" t="str">
        <f>_xlfn.XLOOKUP(D113,Products!A:A,Products!C:C)</f>
        <v>Clothing</v>
      </c>
      <c r="N113" s="2" t="str">
        <f>_xlfn.XLOOKUP(D113,Products!A:A,Products!D:D)</f>
        <v>Levis</v>
      </c>
      <c r="O113" s="2">
        <f>_xlfn.XLOOKUP(D113,Products!A:A,Products!E:E)</f>
        <v>700</v>
      </c>
      <c r="P113" s="2">
        <f>_xlfn.XLOOKUP(D113,Products!A:A,Products!F:F)</f>
        <v>1500</v>
      </c>
      <c r="Q113" s="11">
        <f t="shared" si="5"/>
        <v>4361.056422569025</v>
      </c>
      <c r="R113" s="11">
        <f t="shared" si="6"/>
        <v>383.74364715970415</v>
      </c>
      <c r="S113" s="11">
        <f t="shared" si="7"/>
        <v>3977.3127754093207</v>
      </c>
      <c r="T113" s="11">
        <f t="shared" si="8"/>
        <v>2035.1596638655449</v>
      </c>
      <c r="U113" s="11">
        <f t="shared" si="9"/>
        <v>1942.1531115437758</v>
      </c>
    </row>
    <row r="114" spans="1:21" x14ac:dyDescent="0.3">
      <c r="A114" s="2" t="s">
        <v>166</v>
      </c>
      <c r="B114" s="6">
        <v>46137</v>
      </c>
      <c r="C114" s="2" t="s">
        <v>32</v>
      </c>
      <c r="D114" s="2" t="s">
        <v>55</v>
      </c>
      <c r="E114" s="2" t="s">
        <v>38</v>
      </c>
      <c r="F114" s="2" t="s">
        <v>39</v>
      </c>
      <c r="G114" s="2" t="s">
        <v>16</v>
      </c>
      <c r="H114" s="11">
        <v>2.9109243697478999</v>
      </c>
      <c r="I114" s="7">
        <v>8.8141176470588195E-2</v>
      </c>
      <c r="J114" s="11">
        <v>3.6053781512605001</v>
      </c>
      <c r="K114" s="2" t="s">
        <v>17</v>
      </c>
      <c r="L114" s="2" t="str">
        <f>_xlfn.XLOOKUP(D114,Products!A:A,Products!B:B)</f>
        <v>Sports Shoes</v>
      </c>
      <c r="M114" s="2" t="str">
        <f>_xlfn.XLOOKUP(D114,Products!A:A,Products!C:C)</f>
        <v>Sports</v>
      </c>
      <c r="N114" s="2" t="str">
        <f>_xlfn.XLOOKUP(D114,Products!A:A,Products!D:D)</f>
        <v>Nike</v>
      </c>
      <c r="O114" s="2">
        <f>_xlfn.XLOOKUP(D114,Products!A:A,Products!E:E)</f>
        <v>2200</v>
      </c>
      <c r="P114" s="2">
        <f>_xlfn.XLOOKUP(D114,Products!A:A,Products!F:F)</f>
        <v>4500</v>
      </c>
      <c r="Q114" s="11">
        <f t="shared" si="5"/>
        <v>13099.15966386555</v>
      </c>
      <c r="R114" s="11">
        <f t="shared" si="6"/>
        <v>1154.5753435491843</v>
      </c>
      <c r="S114" s="11">
        <f t="shared" si="7"/>
        <v>11944.584320316366</v>
      </c>
      <c r="T114" s="11">
        <f t="shared" si="8"/>
        <v>6404.0336134453801</v>
      </c>
      <c r="U114" s="11">
        <f t="shared" si="9"/>
        <v>5540.5507068709858</v>
      </c>
    </row>
    <row r="115" spans="1:21" x14ac:dyDescent="0.3">
      <c r="A115" s="2" t="s">
        <v>167</v>
      </c>
      <c r="B115" s="6">
        <v>46137</v>
      </c>
      <c r="C115" s="2" t="s">
        <v>34</v>
      </c>
      <c r="D115" s="2" t="s">
        <v>58</v>
      </c>
      <c r="E115" s="2" t="s">
        <v>44</v>
      </c>
      <c r="F115" s="2" t="s">
        <v>41</v>
      </c>
      <c r="G115" s="2" t="s">
        <v>23</v>
      </c>
      <c r="H115" s="11">
        <v>2.9144777911164499</v>
      </c>
      <c r="I115" s="7">
        <v>8.8289075630252095E-2</v>
      </c>
      <c r="J115" s="11">
        <v>3.5933253301320498</v>
      </c>
      <c r="K115" s="2" t="s">
        <v>30</v>
      </c>
      <c r="L115" s="2" t="str">
        <f>_xlfn.XLOOKUP(D115,Products!A:A,Products!B:B)</f>
        <v>Study Table</v>
      </c>
      <c r="M115" s="2" t="str">
        <f>_xlfn.XLOOKUP(D115,Products!A:A,Products!C:C)</f>
        <v>Furniture</v>
      </c>
      <c r="N115" s="2" t="str">
        <f>_xlfn.XLOOKUP(D115,Products!A:A,Products!D:D)</f>
        <v>Ikea</v>
      </c>
      <c r="O115" s="2">
        <f>_xlfn.XLOOKUP(D115,Products!A:A,Products!E:E)</f>
        <v>5000</v>
      </c>
      <c r="P115" s="2">
        <f>_xlfn.XLOOKUP(D115,Products!A:A,Products!F:F)</f>
        <v>8500</v>
      </c>
      <c r="Q115" s="11">
        <f t="shared" si="5"/>
        <v>24773.061224489826</v>
      </c>
      <c r="R115" s="11">
        <f t="shared" si="6"/>
        <v>2187.1906760418478</v>
      </c>
      <c r="S115" s="11">
        <f t="shared" si="7"/>
        <v>22585.87054844798</v>
      </c>
      <c r="T115" s="11">
        <f t="shared" si="8"/>
        <v>14572.38895558225</v>
      </c>
      <c r="U115" s="11">
        <f t="shared" si="9"/>
        <v>8013.4815928657299</v>
      </c>
    </row>
    <row r="116" spans="1:21" x14ac:dyDescent="0.3">
      <c r="A116" s="2" t="s">
        <v>168</v>
      </c>
      <c r="B116" s="6">
        <v>46113</v>
      </c>
      <c r="C116" s="2" t="s">
        <v>12</v>
      </c>
      <c r="D116" s="2" t="s">
        <v>13</v>
      </c>
      <c r="E116" s="2" t="s">
        <v>14</v>
      </c>
      <c r="F116" s="2" t="s">
        <v>15</v>
      </c>
      <c r="G116" s="2" t="s">
        <v>16</v>
      </c>
      <c r="H116" s="11">
        <v>2.9180312124849901</v>
      </c>
      <c r="I116" s="7">
        <v>8.8436974789915995E-2</v>
      </c>
      <c r="J116" s="11">
        <v>3.5812725090035999</v>
      </c>
      <c r="K116" s="2" t="s">
        <v>17</v>
      </c>
      <c r="L116" s="2" t="str">
        <f>_xlfn.XLOOKUP(D116,Products!A:A,Products!B:B)</f>
        <v>Laptop</v>
      </c>
      <c r="M116" s="2" t="str">
        <f>_xlfn.XLOOKUP(D116,Products!A:A,Products!C:C)</f>
        <v>Electronics</v>
      </c>
      <c r="N116" s="2" t="str">
        <f>_xlfn.XLOOKUP(D116,Products!A:A,Products!D:D)</f>
        <v>HP</v>
      </c>
      <c r="O116" s="2">
        <f>_xlfn.XLOOKUP(D116,Products!A:A,Products!E:E)</f>
        <v>42000</v>
      </c>
      <c r="P116" s="2">
        <f>_xlfn.XLOOKUP(D116,Products!A:A,Products!F:F)</f>
        <v>55000</v>
      </c>
      <c r="Q116" s="11">
        <f t="shared" si="5"/>
        <v>160491.71668667445</v>
      </c>
      <c r="R116" s="11">
        <f t="shared" si="6"/>
        <v>14193.401902609769</v>
      </c>
      <c r="S116" s="11">
        <f t="shared" si="7"/>
        <v>146298.31478406469</v>
      </c>
      <c r="T116" s="11">
        <f t="shared" si="8"/>
        <v>122557.31092436958</v>
      </c>
      <c r="U116" s="11">
        <f t="shared" si="9"/>
        <v>23741.003859695105</v>
      </c>
    </row>
    <row r="117" spans="1:21" x14ac:dyDescent="0.3">
      <c r="A117" s="2" t="s">
        <v>169</v>
      </c>
      <c r="B117" s="6">
        <v>46113</v>
      </c>
      <c r="C117" s="2" t="s">
        <v>19</v>
      </c>
      <c r="D117" s="2" t="s">
        <v>20</v>
      </c>
      <c r="E117" s="2" t="s">
        <v>21</v>
      </c>
      <c r="F117" s="2" t="s">
        <v>22</v>
      </c>
      <c r="G117" s="2" t="s">
        <v>23</v>
      </c>
      <c r="H117" s="11">
        <v>2.9215846338535401</v>
      </c>
      <c r="I117" s="7">
        <v>8.8584873949579798E-2</v>
      </c>
      <c r="J117" s="11">
        <v>3.5692196878751501</v>
      </c>
      <c r="K117" s="2" t="s">
        <v>17</v>
      </c>
      <c r="L117" s="2" t="str">
        <f>_xlfn.XLOOKUP(D117,Products!A:A,Products!B:B)</f>
        <v>Jeans</v>
      </c>
      <c r="M117" s="2" t="str">
        <f>_xlfn.XLOOKUP(D117,Products!A:A,Products!C:C)</f>
        <v>Clothing</v>
      </c>
      <c r="N117" s="2" t="str">
        <f>_xlfn.XLOOKUP(D117,Products!A:A,Products!D:D)</f>
        <v>Wrangler</v>
      </c>
      <c r="O117" s="2">
        <f>_xlfn.XLOOKUP(D117,Products!A:A,Products!E:E)</f>
        <v>1100</v>
      </c>
      <c r="P117" s="2">
        <f>_xlfn.XLOOKUP(D117,Products!A:A,Products!F:F)</f>
        <v>2200</v>
      </c>
      <c r="Q117" s="11">
        <f t="shared" si="5"/>
        <v>6427.4861944777886</v>
      </c>
      <c r="R117" s="11">
        <f t="shared" si="6"/>
        <v>569.37805435047926</v>
      </c>
      <c r="S117" s="11">
        <f t="shared" si="7"/>
        <v>5858.1081401273095</v>
      </c>
      <c r="T117" s="11">
        <f t="shared" si="8"/>
        <v>3213.7430972388943</v>
      </c>
      <c r="U117" s="11">
        <f t="shared" si="9"/>
        <v>2644.3650428884152</v>
      </c>
    </row>
    <row r="118" spans="1:21" x14ac:dyDescent="0.3">
      <c r="A118" s="2" t="s">
        <v>170</v>
      </c>
      <c r="B118" s="6">
        <v>46114</v>
      </c>
      <c r="C118" s="2" t="s">
        <v>25</v>
      </c>
      <c r="D118" s="2" t="s">
        <v>26</v>
      </c>
      <c r="E118" s="2" t="s">
        <v>27</v>
      </c>
      <c r="F118" s="2" t="s">
        <v>28</v>
      </c>
      <c r="G118" s="2" t="s">
        <v>29</v>
      </c>
      <c r="H118" s="11">
        <v>2.92513805522209</v>
      </c>
      <c r="I118" s="7">
        <v>8.8732773109243698E-2</v>
      </c>
      <c r="J118" s="11">
        <v>3.5571668667466998</v>
      </c>
      <c r="K118" s="2" t="s">
        <v>30</v>
      </c>
      <c r="L118" s="2" t="str">
        <f>_xlfn.XLOOKUP(D118,Products!A:A,Products!B:B)</f>
        <v>Face Wash</v>
      </c>
      <c r="M118" s="2" t="str">
        <f>_xlfn.XLOOKUP(D118,Products!A:A,Products!C:C)</f>
        <v>Beauty</v>
      </c>
      <c r="N118" s="2" t="str">
        <f>_xlfn.XLOOKUP(D118,Products!A:A,Products!D:D)</f>
        <v>Nivea</v>
      </c>
      <c r="O118" s="2">
        <f>_xlfn.XLOOKUP(D118,Products!A:A,Products!E:E)</f>
        <v>180</v>
      </c>
      <c r="P118" s="2">
        <f>_xlfn.XLOOKUP(D118,Products!A:A,Products!F:F)</f>
        <v>350</v>
      </c>
      <c r="Q118" s="11">
        <f t="shared" si="5"/>
        <v>1023.7983193277315</v>
      </c>
      <c r="R118" s="11">
        <f t="shared" si="6"/>
        <v>90.84446397853263</v>
      </c>
      <c r="S118" s="11">
        <f t="shared" si="7"/>
        <v>932.95385534919888</v>
      </c>
      <c r="T118" s="11">
        <f t="shared" si="8"/>
        <v>526.52484993997621</v>
      </c>
      <c r="U118" s="11">
        <f t="shared" si="9"/>
        <v>406.42900540922267</v>
      </c>
    </row>
    <row r="119" spans="1:21" x14ac:dyDescent="0.3">
      <c r="A119" s="4" t="s">
        <v>171</v>
      </c>
      <c r="B119" s="5">
        <v>46114</v>
      </c>
      <c r="C119" s="4" t="s">
        <v>32</v>
      </c>
      <c r="D119" s="4" t="s">
        <v>37</v>
      </c>
      <c r="E119" s="4" t="s">
        <v>38</v>
      </c>
      <c r="F119" s="4" t="s">
        <v>39</v>
      </c>
      <c r="G119" s="4" t="s">
        <v>16</v>
      </c>
      <c r="H119" s="12">
        <v>2.9286914765906298</v>
      </c>
      <c r="I119" s="8">
        <v>8.8880672268907598E-2</v>
      </c>
      <c r="J119" s="12">
        <v>3.5451140456182499</v>
      </c>
      <c r="K119" s="4" t="s">
        <v>17</v>
      </c>
      <c r="L119" s="2" t="str">
        <f>_xlfn.XLOOKUP(D119,Products!A:A,Products!B:B)</f>
        <v>Headphones</v>
      </c>
      <c r="M119" s="2" t="str">
        <f>_xlfn.XLOOKUP(D119,Products!A:A,Products!C:C)</f>
        <v>Electronics</v>
      </c>
      <c r="N119" s="2" t="str">
        <f>_xlfn.XLOOKUP(D119,Products!A:A,Products!D:D)</f>
        <v>Sony</v>
      </c>
      <c r="O119" s="2">
        <f>_xlfn.XLOOKUP(D119,Products!A:A,Products!E:E)</f>
        <v>1800</v>
      </c>
      <c r="P119" s="2">
        <f>_xlfn.XLOOKUP(D119,Products!A:A,Products!F:F)</f>
        <v>3200</v>
      </c>
      <c r="Q119" s="11">
        <f t="shared" si="5"/>
        <v>9371.8127250900161</v>
      </c>
      <c r="R119" s="11">
        <f t="shared" si="6"/>
        <v>832.97301538430349</v>
      </c>
      <c r="S119" s="11">
        <f t="shared" si="7"/>
        <v>8538.8397097057132</v>
      </c>
      <c r="T119" s="11">
        <f t="shared" si="8"/>
        <v>5271.6446578631339</v>
      </c>
      <c r="U119" s="11">
        <f t="shared" si="9"/>
        <v>3267.1950518425792</v>
      </c>
    </row>
    <row r="120" spans="1:21" x14ac:dyDescent="0.3">
      <c r="A120" s="1" t="s">
        <v>172</v>
      </c>
      <c r="B120" s="9">
        <v>46115</v>
      </c>
      <c r="C120" s="1" t="s">
        <v>34</v>
      </c>
      <c r="D120" s="1" t="s">
        <v>40</v>
      </c>
      <c r="E120" s="1" t="s">
        <v>14</v>
      </c>
      <c r="F120" s="1" t="s">
        <v>41</v>
      </c>
      <c r="G120" s="1" t="s">
        <v>42</v>
      </c>
      <c r="H120" s="13">
        <v>2.9322448979591802</v>
      </c>
      <c r="I120" s="10">
        <v>8.9028571428571401E-2</v>
      </c>
      <c r="J120" s="13">
        <v>3.5330612244898001</v>
      </c>
      <c r="K120" s="10" t="s">
        <v>17</v>
      </c>
      <c r="L120" s="2" t="str">
        <f>_xlfn.XLOOKUP(D120,Products!A:A,Products!B:B)</f>
        <v>Office Chair</v>
      </c>
      <c r="M120" s="2" t="str">
        <f>_xlfn.XLOOKUP(D120,Products!A:A,Products!C:C)</f>
        <v>Furniture</v>
      </c>
      <c r="N120" s="2" t="str">
        <f>_xlfn.XLOOKUP(D120,Products!A:A,Products!D:D)</f>
        <v>Featherlite</v>
      </c>
      <c r="O120" s="2">
        <f>_xlfn.XLOOKUP(D120,Products!A:A,Products!E:E)</f>
        <v>4500</v>
      </c>
      <c r="P120" s="2">
        <f>_xlfn.XLOOKUP(D120,Products!A:A,Products!F:F)</f>
        <v>7500</v>
      </c>
      <c r="Q120" s="11">
        <f t="shared" si="5"/>
        <v>21991.83673469385</v>
      </c>
      <c r="R120" s="11">
        <f t="shared" si="6"/>
        <v>1957.9018075801719</v>
      </c>
      <c r="S120" s="11">
        <f t="shared" si="7"/>
        <v>20033.934927113678</v>
      </c>
      <c r="T120" s="11">
        <f t="shared" si="8"/>
        <v>13195.102040816311</v>
      </c>
      <c r="U120" s="11">
        <f t="shared" si="9"/>
        <v>6838.8328862973667</v>
      </c>
    </row>
    <row r="121" spans="1:21" x14ac:dyDescent="0.3">
      <c r="A121" s="1" t="s">
        <v>173</v>
      </c>
      <c r="B121" s="9">
        <v>46115</v>
      </c>
      <c r="C121" s="1" t="s">
        <v>36</v>
      </c>
      <c r="D121" s="1" t="s">
        <v>43</v>
      </c>
      <c r="E121" s="1" t="s">
        <v>44</v>
      </c>
      <c r="F121" s="1" t="s">
        <v>15</v>
      </c>
      <c r="G121" s="1" t="s">
        <v>23</v>
      </c>
      <c r="H121" s="13">
        <v>2.9357983193277302</v>
      </c>
      <c r="I121" s="10">
        <v>8.9176470588235301E-2</v>
      </c>
      <c r="J121" s="13">
        <v>3.52100840336134</v>
      </c>
      <c r="K121" s="10" t="s">
        <v>17</v>
      </c>
      <c r="L121" s="2" t="str">
        <f>_xlfn.XLOOKUP(D121,Products!A:A,Products!B:B)</f>
        <v>Smartphone</v>
      </c>
      <c r="M121" s="2" t="str">
        <f>_xlfn.XLOOKUP(D121,Products!A:A,Products!C:C)</f>
        <v>Electronics</v>
      </c>
      <c r="N121" s="2" t="str">
        <f>_xlfn.XLOOKUP(D121,Products!A:A,Products!D:D)</f>
        <v>Samsung</v>
      </c>
      <c r="O121" s="2">
        <f>_xlfn.XLOOKUP(D121,Products!A:A,Products!E:E)</f>
        <v>14000</v>
      </c>
      <c r="P121" s="2">
        <f>_xlfn.XLOOKUP(D121,Products!A:A,Products!F:F)</f>
        <v>22000</v>
      </c>
      <c r="Q121" s="11">
        <f t="shared" si="5"/>
        <v>64587.563025210067</v>
      </c>
      <c r="R121" s="11">
        <f t="shared" si="6"/>
        <v>5759.690914483439</v>
      </c>
      <c r="S121" s="11">
        <f t="shared" si="7"/>
        <v>58827.872110726632</v>
      </c>
      <c r="T121" s="11">
        <f t="shared" si="8"/>
        <v>41101.176470588223</v>
      </c>
      <c r="U121" s="11">
        <f t="shared" si="9"/>
        <v>17726.695640138409</v>
      </c>
    </row>
    <row r="122" spans="1:21" x14ac:dyDescent="0.3">
      <c r="A122" s="1" t="s">
        <v>174</v>
      </c>
      <c r="B122" s="9">
        <v>46116</v>
      </c>
      <c r="C122" s="1" t="s">
        <v>46</v>
      </c>
      <c r="D122" s="1" t="s">
        <v>47</v>
      </c>
      <c r="E122" s="1" t="s">
        <v>27</v>
      </c>
      <c r="F122" s="1" t="s">
        <v>22</v>
      </c>
      <c r="G122" s="1" t="s">
        <v>16</v>
      </c>
      <c r="H122" s="13">
        <v>2.9393517406962801</v>
      </c>
      <c r="I122" s="10">
        <v>8.9324369747899202E-2</v>
      </c>
      <c r="J122" s="13">
        <v>3.5089555822328902</v>
      </c>
      <c r="K122" s="10" t="s">
        <v>48</v>
      </c>
      <c r="L122" s="2" t="str">
        <f>_xlfn.XLOOKUP(D122,Products!A:A,Products!B:B)</f>
        <v>Mixer Grinder</v>
      </c>
      <c r="M122" s="2" t="str">
        <f>_xlfn.XLOOKUP(D122,Products!A:A,Products!C:C)</f>
        <v>Home Appliances</v>
      </c>
      <c r="N122" s="2" t="str">
        <f>_xlfn.XLOOKUP(D122,Products!A:A,Products!D:D)</f>
        <v>Philips</v>
      </c>
      <c r="O122" s="2">
        <f>_xlfn.XLOOKUP(D122,Products!A:A,Products!E:E)</f>
        <v>2800</v>
      </c>
      <c r="P122" s="2">
        <f>_xlfn.XLOOKUP(D122,Products!A:A,Products!F:F)</f>
        <v>4800</v>
      </c>
      <c r="Q122" s="11">
        <f t="shared" si="5"/>
        <v>14108.888355342144</v>
      </c>
      <c r="R122" s="11">
        <f t="shared" si="6"/>
        <v>1260.2675601844112</v>
      </c>
      <c r="S122" s="11">
        <f t="shared" si="7"/>
        <v>12848.620795157733</v>
      </c>
      <c r="T122" s="11">
        <f t="shared" si="8"/>
        <v>8230.1848739495836</v>
      </c>
      <c r="U122" s="11">
        <f t="shared" si="9"/>
        <v>4618.435921208149</v>
      </c>
    </row>
    <row r="123" spans="1:21" x14ac:dyDescent="0.3">
      <c r="A123" s="2" t="s">
        <v>175</v>
      </c>
      <c r="B123" s="6">
        <v>46116</v>
      </c>
      <c r="C123" s="2" t="s">
        <v>50</v>
      </c>
      <c r="D123" s="2" t="s">
        <v>51</v>
      </c>
      <c r="E123" s="2" t="s">
        <v>21</v>
      </c>
      <c r="F123" s="2" t="s">
        <v>52</v>
      </c>
      <c r="G123" s="2" t="s">
        <v>16</v>
      </c>
      <c r="H123" s="11">
        <v>2.9429051620648199</v>
      </c>
      <c r="I123" s="7">
        <v>8.9472268907563005E-2</v>
      </c>
      <c r="J123" s="11">
        <v>3.4969027611044399</v>
      </c>
      <c r="K123" s="2" t="s">
        <v>17</v>
      </c>
      <c r="L123" s="2" t="str">
        <f>_xlfn.XLOOKUP(D123,Products!A:A,Products!B:B)</f>
        <v>Shirt</v>
      </c>
      <c r="M123" s="2" t="str">
        <f>_xlfn.XLOOKUP(D123,Products!A:A,Products!C:C)</f>
        <v>Clothing</v>
      </c>
      <c r="N123" s="2" t="str">
        <f>_xlfn.XLOOKUP(D123,Products!A:A,Products!D:D)</f>
        <v>Levis</v>
      </c>
      <c r="O123" s="2">
        <f>_xlfn.XLOOKUP(D123,Products!A:A,Products!E:E)</f>
        <v>700</v>
      </c>
      <c r="P123" s="2">
        <f>_xlfn.XLOOKUP(D123,Products!A:A,Products!F:F)</f>
        <v>1500</v>
      </c>
      <c r="Q123" s="11">
        <f t="shared" si="5"/>
        <v>4414.35774309723</v>
      </c>
      <c r="R123" s="11">
        <f t="shared" si="6"/>
        <v>394.96260304457832</v>
      </c>
      <c r="S123" s="11">
        <f t="shared" si="7"/>
        <v>4019.3951400526516</v>
      </c>
      <c r="T123" s="11">
        <f t="shared" si="8"/>
        <v>2060.0336134453737</v>
      </c>
      <c r="U123" s="11">
        <f t="shared" si="9"/>
        <v>1959.3615266072779</v>
      </c>
    </row>
    <row r="124" spans="1:21" x14ac:dyDescent="0.3">
      <c r="A124" s="2" t="s">
        <v>176</v>
      </c>
      <c r="B124" s="6">
        <v>46117</v>
      </c>
      <c r="C124" s="2" t="s">
        <v>54</v>
      </c>
      <c r="D124" s="2" t="s">
        <v>55</v>
      </c>
      <c r="E124" s="2" t="s">
        <v>38</v>
      </c>
      <c r="F124" s="2" t="s">
        <v>15</v>
      </c>
      <c r="G124" s="2" t="s">
        <v>29</v>
      </c>
      <c r="H124" s="11">
        <v>2.9464585834333699</v>
      </c>
      <c r="I124" s="7">
        <v>8.9620168067226905E-2</v>
      </c>
      <c r="J124" s="11">
        <v>3.48484993997599</v>
      </c>
      <c r="K124" s="2" t="s">
        <v>30</v>
      </c>
      <c r="L124" s="2" t="str">
        <f>_xlfn.XLOOKUP(D124,Products!A:A,Products!B:B)</f>
        <v>Sports Shoes</v>
      </c>
      <c r="M124" s="2" t="str">
        <f>_xlfn.XLOOKUP(D124,Products!A:A,Products!C:C)</f>
        <v>Sports</v>
      </c>
      <c r="N124" s="2" t="str">
        <f>_xlfn.XLOOKUP(D124,Products!A:A,Products!D:D)</f>
        <v>Nike</v>
      </c>
      <c r="O124" s="2">
        <f>_xlfn.XLOOKUP(D124,Products!A:A,Products!E:E)</f>
        <v>2200</v>
      </c>
      <c r="P124" s="2">
        <f>_xlfn.XLOOKUP(D124,Products!A:A,Products!F:F)</f>
        <v>4500</v>
      </c>
      <c r="Q124" s="11">
        <f t="shared" si="5"/>
        <v>13259.063625450164</v>
      </c>
      <c r="R124" s="11">
        <f t="shared" si="6"/>
        <v>1188.2795105268985</v>
      </c>
      <c r="S124" s="11">
        <f t="shared" si="7"/>
        <v>12070.784114923266</v>
      </c>
      <c r="T124" s="11">
        <f t="shared" si="8"/>
        <v>6482.2088835534141</v>
      </c>
      <c r="U124" s="11">
        <f t="shared" si="9"/>
        <v>5588.5752313698522</v>
      </c>
    </row>
    <row r="125" spans="1:21" x14ac:dyDescent="0.3">
      <c r="A125" s="2" t="s">
        <v>177</v>
      </c>
      <c r="B125" s="6">
        <v>46117</v>
      </c>
      <c r="C125" s="2" t="s">
        <v>57</v>
      </c>
      <c r="D125" s="2" t="s">
        <v>58</v>
      </c>
      <c r="E125" s="2" t="s">
        <v>44</v>
      </c>
      <c r="F125" s="2" t="s">
        <v>41</v>
      </c>
      <c r="G125" s="2" t="s">
        <v>23</v>
      </c>
      <c r="H125" s="11">
        <v>2.9500120048019198</v>
      </c>
      <c r="I125" s="7">
        <v>8.9768067226890694E-2</v>
      </c>
      <c r="J125" s="11">
        <v>3.4727971188475402</v>
      </c>
      <c r="K125" s="2" t="s">
        <v>17</v>
      </c>
      <c r="L125" s="2" t="str">
        <f>_xlfn.XLOOKUP(D125,Products!A:A,Products!B:B)</f>
        <v>Study Table</v>
      </c>
      <c r="M125" s="2" t="str">
        <f>_xlfn.XLOOKUP(D125,Products!A:A,Products!C:C)</f>
        <v>Furniture</v>
      </c>
      <c r="N125" s="2" t="str">
        <f>_xlfn.XLOOKUP(D125,Products!A:A,Products!D:D)</f>
        <v>Ikea</v>
      </c>
      <c r="O125" s="2">
        <f>_xlfn.XLOOKUP(D125,Products!A:A,Products!E:E)</f>
        <v>5000</v>
      </c>
      <c r="P125" s="2">
        <f>_xlfn.XLOOKUP(D125,Products!A:A,Products!F:F)</f>
        <v>8500</v>
      </c>
      <c r="Q125" s="11">
        <f t="shared" si="5"/>
        <v>25075.102040816317</v>
      </c>
      <c r="R125" s="11">
        <f t="shared" si="6"/>
        <v>2250.9434457211432</v>
      </c>
      <c r="S125" s="11">
        <f t="shared" si="7"/>
        <v>22824.158595095174</v>
      </c>
      <c r="T125" s="11">
        <f t="shared" si="8"/>
        <v>14750.060024009599</v>
      </c>
      <c r="U125" s="11">
        <f t="shared" si="9"/>
        <v>8074.0985710855748</v>
      </c>
    </row>
    <row r="126" spans="1:21" x14ac:dyDescent="0.3">
      <c r="A126" s="2" t="s">
        <v>178</v>
      </c>
      <c r="B126" s="6">
        <v>46118</v>
      </c>
      <c r="C126" s="2" t="s">
        <v>60</v>
      </c>
      <c r="D126" s="2" t="s">
        <v>13</v>
      </c>
      <c r="E126" s="2" t="s">
        <v>14</v>
      </c>
      <c r="F126" s="2" t="s">
        <v>22</v>
      </c>
      <c r="G126" s="2" t="s">
        <v>16</v>
      </c>
      <c r="H126" s="11">
        <v>2.9535654261704698</v>
      </c>
      <c r="I126" s="7">
        <v>8.9915966386554594E-2</v>
      </c>
      <c r="J126" s="11">
        <v>3.4607442977190899</v>
      </c>
      <c r="K126" s="2" t="s">
        <v>17</v>
      </c>
      <c r="L126" s="2" t="str">
        <f>_xlfn.XLOOKUP(D126,Products!A:A,Products!B:B)</f>
        <v>Laptop</v>
      </c>
      <c r="M126" s="2" t="str">
        <f>_xlfn.XLOOKUP(D126,Products!A:A,Products!C:C)</f>
        <v>Electronics</v>
      </c>
      <c r="N126" s="2" t="str">
        <f>_xlfn.XLOOKUP(D126,Products!A:A,Products!D:D)</f>
        <v>HP</v>
      </c>
      <c r="O126" s="2">
        <f>_xlfn.XLOOKUP(D126,Products!A:A,Products!E:E)</f>
        <v>42000</v>
      </c>
      <c r="P126" s="2">
        <f>_xlfn.XLOOKUP(D126,Products!A:A,Products!F:F)</f>
        <v>55000</v>
      </c>
      <c r="Q126" s="11">
        <f t="shared" si="5"/>
        <v>162446.09843937584</v>
      </c>
      <c r="R126" s="11">
        <f t="shared" si="6"/>
        <v>14606.497926901857</v>
      </c>
      <c r="S126" s="11">
        <f t="shared" si="7"/>
        <v>147839.60051247399</v>
      </c>
      <c r="T126" s="11">
        <f t="shared" si="8"/>
        <v>124049.74789915973</v>
      </c>
      <c r="U126" s="11">
        <f t="shared" si="9"/>
        <v>23789.852613314259</v>
      </c>
    </row>
    <row r="127" spans="1:21" x14ac:dyDescent="0.3">
      <c r="A127" s="2" t="s">
        <v>179</v>
      </c>
      <c r="B127" s="6">
        <v>46118</v>
      </c>
      <c r="C127" s="2" t="s">
        <v>62</v>
      </c>
      <c r="D127" s="2" t="s">
        <v>26</v>
      </c>
      <c r="E127" s="2" t="s">
        <v>27</v>
      </c>
      <c r="F127" s="2" t="s">
        <v>15</v>
      </c>
      <c r="G127" s="2" t="s">
        <v>42</v>
      </c>
      <c r="H127" s="11">
        <v>2.95711884753901</v>
      </c>
      <c r="I127" s="7">
        <v>9.0063865546218494E-2</v>
      </c>
      <c r="J127" s="11">
        <v>3.44869147659064</v>
      </c>
      <c r="K127" s="2" t="s">
        <v>17</v>
      </c>
      <c r="L127" s="2" t="str">
        <f>_xlfn.XLOOKUP(D127,Products!A:A,Products!B:B)</f>
        <v>Face Wash</v>
      </c>
      <c r="M127" s="2" t="str">
        <f>_xlfn.XLOOKUP(D127,Products!A:A,Products!C:C)</f>
        <v>Beauty</v>
      </c>
      <c r="N127" s="2" t="str">
        <f>_xlfn.XLOOKUP(D127,Products!A:A,Products!D:D)</f>
        <v>Nivea</v>
      </c>
      <c r="O127" s="2">
        <f>_xlfn.XLOOKUP(D127,Products!A:A,Products!E:E)</f>
        <v>180</v>
      </c>
      <c r="P127" s="2">
        <f>_xlfn.XLOOKUP(D127,Products!A:A,Products!F:F)</f>
        <v>350</v>
      </c>
      <c r="Q127" s="11">
        <f t="shared" si="5"/>
        <v>1034.9915966386534</v>
      </c>
      <c r="R127" s="11">
        <f t="shared" si="6"/>
        <v>93.215344001129679</v>
      </c>
      <c r="S127" s="11">
        <f t="shared" si="7"/>
        <v>941.77625263752373</v>
      </c>
      <c r="T127" s="11">
        <f t="shared" si="8"/>
        <v>532.28139255702183</v>
      </c>
      <c r="U127" s="11">
        <f t="shared" si="9"/>
        <v>409.49486008050189</v>
      </c>
    </row>
    <row r="128" spans="1:21" x14ac:dyDescent="0.3">
      <c r="A128" s="2" t="s">
        <v>180</v>
      </c>
      <c r="B128" s="6">
        <v>46119</v>
      </c>
      <c r="C128" s="2" t="s">
        <v>64</v>
      </c>
      <c r="D128" s="2" t="s">
        <v>20</v>
      </c>
      <c r="E128" s="2" t="s">
        <v>21</v>
      </c>
      <c r="F128" s="2" t="s">
        <v>39</v>
      </c>
      <c r="G128" s="2" t="s">
        <v>23</v>
      </c>
      <c r="H128" s="11">
        <v>2.96067226890756</v>
      </c>
      <c r="I128" s="7">
        <v>9.0211764705882297E-2</v>
      </c>
      <c r="J128" s="11">
        <v>3.4366386554621902</v>
      </c>
      <c r="K128" s="2" t="s">
        <v>17</v>
      </c>
      <c r="L128" s="2" t="str">
        <f>_xlfn.XLOOKUP(D128,Products!A:A,Products!B:B)</f>
        <v>Jeans</v>
      </c>
      <c r="M128" s="2" t="str">
        <f>_xlfn.XLOOKUP(D128,Products!A:A,Products!C:C)</f>
        <v>Clothing</v>
      </c>
      <c r="N128" s="2" t="str">
        <f>_xlfn.XLOOKUP(D128,Products!A:A,Products!D:D)</f>
        <v>Wrangler</v>
      </c>
      <c r="O128" s="2">
        <f>_xlfn.XLOOKUP(D128,Products!A:A,Products!E:E)</f>
        <v>1100</v>
      </c>
      <c r="P128" s="2">
        <f>_xlfn.XLOOKUP(D128,Products!A:A,Products!F:F)</f>
        <v>2200</v>
      </c>
      <c r="Q128" s="11">
        <f t="shared" si="5"/>
        <v>6513.4789915966321</v>
      </c>
      <c r="R128" s="11">
        <f t="shared" si="6"/>
        <v>587.5924342066229</v>
      </c>
      <c r="S128" s="11">
        <f t="shared" si="7"/>
        <v>5925.8865573900093</v>
      </c>
      <c r="T128" s="11">
        <f t="shared" si="8"/>
        <v>3256.7394957983161</v>
      </c>
      <c r="U128" s="11">
        <f t="shared" si="9"/>
        <v>2669.1470615916933</v>
      </c>
    </row>
    <row r="129" spans="1:21" x14ac:dyDescent="0.3">
      <c r="A129" s="2" t="s">
        <v>181</v>
      </c>
      <c r="B129" s="6">
        <v>46119</v>
      </c>
      <c r="C129" s="2" t="s">
        <v>66</v>
      </c>
      <c r="D129" s="2" t="s">
        <v>37</v>
      </c>
      <c r="E129" s="2" t="s">
        <v>38</v>
      </c>
      <c r="F129" s="2" t="s">
        <v>15</v>
      </c>
      <c r="G129" s="2" t="s">
        <v>16</v>
      </c>
      <c r="H129" s="11">
        <v>2.9642256902761099</v>
      </c>
      <c r="I129" s="7">
        <v>9.0359663865546197E-2</v>
      </c>
      <c r="J129" s="11">
        <v>3.4245858343337301</v>
      </c>
      <c r="K129" s="2" t="s">
        <v>17</v>
      </c>
      <c r="L129" s="2" t="str">
        <f>_xlfn.XLOOKUP(D129,Products!A:A,Products!B:B)</f>
        <v>Headphones</v>
      </c>
      <c r="M129" s="2" t="str">
        <f>_xlfn.XLOOKUP(D129,Products!A:A,Products!C:C)</f>
        <v>Electronics</v>
      </c>
      <c r="N129" s="2" t="str">
        <f>_xlfn.XLOOKUP(D129,Products!A:A,Products!D:D)</f>
        <v>Sony</v>
      </c>
      <c r="O129" s="2">
        <f>_xlfn.XLOOKUP(D129,Products!A:A,Products!E:E)</f>
        <v>1800</v>
      </c>
      <c r="P129" s="2">
        <f>_xlfn.XLOOKUP(D129,Products!A:A,Products!F:F)</f>
        <v>3200</v>
      </c>
      <c r="Q129" s="11">
        <f t="shared" si="5"/>
        <v>9485.5222088835526</v>
      </c>
      <c r="R129" s="11">
        <f t="shared" si="6"/>
        <v>857.10859838389115</v>
      </c>
      <c r="S129" s="11">
        <f t="shared" si="7"/>
        <v>8628.4136104996614</v>
      </c>
      <c r="T129" s="11">
        <f t="shared" si="8"/>
        <v>5335.6062424969978</v>
      </c>
      <c r="U129" s="11">
        <f t="shared" si="9"/>
        <v>3292.8073680026637</v>
      </c>
    </row>
    <row r="130" spans="1:21" x14ac:dyDescent="0.3">
      <c r="A130" s="2" t="s">
        <v>182</v>
      </c>
      <c r="B130" s="6">
        <v>46113</v>
      </c>
      <c r="C130" s="2" t="s">
        <v>12</v>
      </c>
      <c r="D130" s="2" t="s">
        <v>13</v>
      </c>
      <c r="E130" s="2" t="s">
        <v>14</v>
      </c>
      <c r="F130" s="2" t="s">
        <v>15</v>
      </c>
      <c r="G130" s="2" t="s">
        <v>16</v>
      </c>
      <c r="H130" s="11">
        <v>2.9677791116446599</v>
      </c>
      <c r="I130" s="7">
        <v>9.0507563025210097E-2</v>
      </c>
      <c r="J130" s="11">
        <v>3.4125330132052798</v>
      </c>
      <c r="K130" s="2" t="s">
        <v>17</v>
      </c>
      <c r="L130" s="2" t="str">
        <f>_xlfn.XLOOKUP(D130,Products!A:A,Products!B:B)</f>
        <v>Laptop</v>
      </c>
      <c r="M130" s="2" t="str">
        <f>_xlfn.XLOOKUP(D130,Products!A:A,Products!C:C)</f>
        <v>Electronics</v>
      </c>
      <c r="N130" s="2" t="str">
        <f>_xlfn.XLOOKUP(D130,Products!A:A,Products!D:D)</f>
        <v>HP</v>
      </c>
      <c r="O130" s="2">
        <f>_xlfn.XLOOKUP(D130,Products!A:A,Products!E:E)</f>
        <v>42000</v>
      </c>
      <c r="P130" s="2">
        <f>_xlfn.XLOOKUP(D130,Products!A:A,Products!F:F)</f>
        <v>55000</v>
      </c>
      <c r="Q130" s="11">
        <f t="shared" si="5"/>
        <v>163227.8511404563</v>
      </c>
      <c r="R130" s="11">
        <f t="shared" si="6"/>
        <v>14773.35502456446</v>
      </c>
      <c r="S130" s="11">
        <f t="shared" si="7"/>
        <v>148454.49611589184</v>
      </c>
      <c r="T130" s="11">
        <f t="shared" si="8"/>
        <v>124646.72268907572</v>
      </c>
      <c r="U130" s="11">
        <f t="shared" si="9"/>
        <v>23807.773426816129</v>
      </c>
    </row>
    <row r="131" spans="1:21" x14ac:dyDescent="0.3">
      <c r="A131" s="2" t="s">
        <v>183</v>
      </c>
      <c r="B131" s="6">
        <v>46113</v>
      </c>
      <c r="C131" s="2" t="s">
        <v>19</v>
      </c>
      <c r="D131" s="2" t="s">
        <v>20</v>
      </c>
      <c r="E131" s="2" t="s">
        <v>21</v>
      </c>
      <c r="F131" s="2" t="s">
        <v>22</v>
      </c>
      <c r="G131" s="2" t="s">
        <v>23</v>
      </c>
      <c r="H131" s="11">
        <v>2.9713325330132001</v>
      </c>
      <c r="I131" s="7">
        <v>9.06554621848739E-2</v>
      </c>
      <c r="J131" s="11">
        <v>3.4004801920768299</v>
      </c>
      <c r="K131" s="2" t="s">
        <v>17</v>
      </c>
      <c r="L131" s="2" t="str">
        <f>_xlfn.XLOOKUP(D131,Products!A:A,Products!B:B)</f>
        <v>Jeans</v>
      </c>
      <c r="M131" s="2" t="str">
        <f>_xlfn.XLOOKUP(D131,Products!A:A,Products!C:C)</f>
        <v>Clothing</v>
      </c>
      <c r="N131" s="2" t="str">
        <f>_xlfn.XLOOKUP(D131,Products!A:A,Products!D:D)</f>
        <v>Wrangler</v>
      </c>
      <c r="O131" s="2">
        <f>_xlfn.XLOOKUP(D131,Products!A:A,Products!E:E)</f>
        <v>1100</v>
      </c>
      <c r="P131" s="2">
        <f>_xlfn.XLOOKUP(D131,Products!A:A,Products!F:F)</f>
        <v>2200</v>
      </c>
      <c r="Q131" s="11">
        <f t="shared" ref="Q131:Q194" si="10">H131*P131</f>
        <v>6536.9315726290406</v>
      </c>
      <c r="R131" s="11">
        <f t="shared" ref="R131:R194" si="11">Q131*I131</f>
        <v>592.60855298758031</v>
      </c>
      <c r="S131" s="11">
        <f t="shared" ref="S131:S194" si="12">Q131-R131</f>
        <v>5944.3230196414606</v>
      </c>
      <c r="T131" s="11">
        <f t="shared" ref="T131:T194" si="13">H131*O131</f>
        <v>3268.4657863145203</v>
      </c>
      <c r="U131" s="11">
        <f t="shared" ref="U131:U194" si="14">S131-T131</f>
        <v>2675.8572333269403</v>
      </c>
    </row>
    <row r="132" spans="1:21" x14ac:dyDescent="0.3">
      <c r="A132" s="2" t="s">
        <v>184</v>
      </c>
      <c r="B132" s="6">
        <v>46114</v>
      </c>
      <c r="C132" s="2" t="s">
        <v>25</v>
      </c>
      <c r="D132" s="2" t="s">
        <v>26</v>
      </c>
      <c r="E132" s="2" t="s">
        <v>27</v>
      </c>
      <c r="F132" s="2" t="s">
        <v>28</v>
      </c>
      <c r="G132" s="2" t="s">
        <v>29</v>
      </c>
      <c r="H132" s="11">
        <v>2.9748859543817501</v>
      </c>
      <c r="I132" s="7">
        <v>9.08033613445378E-2</v>
      </c>
      <c r="J132" s="11">
        <v>3.3884273709483801</v>
      </c>
      <c r="K132" s="2" t="s">
        <v>30</v>
      </c>
      <c r="L132" s="2" t="str">
        <f>_xlfn.XLOOKUP(D132,Products!A:A,Products!B:B)</f>
        <v>Face Wash</v>
      </c>
      <c r="M132" s="2" t="str">
        <f>_xlfn.XLOOKUP(D132,Products!A:A,Products!C:C)</f>
        <v>Beauty</v>
      </c>
      <c r="N132" s="2" t="str">
        <f>_xlfn.XLOOKUP(D132,Products!A:A,Products!D:D)</f>
        <v>Nivea</v>
      </c>
      <c r="O132" s="2">
        <f>_xlfn.XLOOKUP(D132,Products!A:A,Products!E:E)</f>
        <v>180</v>
      </c>
      <c r="P132" s="2">
        <f>_xlfn.XLOOKUP(D132,Products!A:A,Products!F:F)</f>
        <v>350</v>
      </c>
      <c r="Q132" s="11">
        <f t="shared" si="10"/>
        <v>1041.2100840336125</v>
      </c>
      <c r="R132" s="11">
        <f t="shared" si="11"/>
        <v>94.54537549608068</v>
      </c>
      <c r="S132" s="11">
        <f t="shared" si="12"/>
        <v>946.66470853753185</v>
      </c>
      <c r="T132" s="11">
        <f t="shared" si="13"/>
        <v>535.47947178871505</v>
      </c>
      <c r="U132" s="11">
        <f t="shared" si="14"/>
        <v>411.18523674881681</v>
      </c>
    </row>
    <row r="133" spans="1:21" x14ac:dyDescent="0.3">
      <c r="A133" s="4" t="s">
        <v>185</v>
      </c>
      <c r="B133" s="5">
        <v>46114</v>
      </c>
      <c r="C133" s="4" t="s">
        <v>32</v>
      </c>
      <c r="D133" s="4" t="s">
        <v>37</v>
      </c>
      <c r="E133" s="4" t="s">
        <v>38</v>
      </c>
      <c r="F133" s="4" t="s">
        <v>39</v>
      </c>
      <c r="G133" s="4" t="s">
        <v>16</v>
      </c>
      <c r="H133" s="12">
        <v>2.9784393757503</v>
      </c>
      <c r="I133" s="8">
        <v>9.09512605042017E-2</v>
      </c>
      <c r="J133" s="12">
        <v>3.3763745498199298</v>
      </c>
      <c r="K133" s="4" t="s">
        <v>17</v>
      </c>
      <c r="L133" s="2" t="str">
        <f>_xlfn.XLOOKUP(D133,Products!A:A,Products!B:B)</f>
        <v>Headphones</v>
      </c>
      <c r="M133" s="2" t="str">
        <f>_xlfn.XLOOKUP(D133,Products!A:A,Products!C:C)</f>
        <v>Electronics</v>
      </c>
      <c r="N133" s="2" t="str">
        <f>_xlfn.XLOOKUP(D133,Products!A:A,Products!D:D)</f>
        <v>Sony</v>
      </c>
      <c r="O133" s="2">
        <f>_xlfn.XLOOKUP(D133,Products!A:A,Products!E:E)</f>
        <v>1800</v>
      </c>
      <c r="P133" s="2">
        <f>_xlfn.XLOOKUP(D133,Products!A:A,Products!F:F)</f>
        <v>3200</v>
      </c>
      <c r="Q133" s="11">
        <f t="shared" si="10"/>
        <v>9531.0060024009599</v>
      </c>
      <c r="R133" s="11">
        <f t="shared" si="11"/>
        <v>866.85700979147975</v>
      </c>
      <c r="S133" s="11">
        <f t="shared" si="12"/>
        <v>8664.14899260948</v>
      </c>
      <c r="T133" s="11">
        <f t="shared" si="13"/>
        <v>5361.1908763505398</v>
      </c>
      <c r="U133" s="11">
        <f t="shared" si="14"/>
        <v>3302.9581162589402</v>
      </c>
    </row>
    <row r="134" spans="1:21" x14ac:dyDescent="0.3">
      <c r="A134" s="1" t="s">
        <v>186</v>
      </c>
      <c r="B134" s="9">
        <v>46115</v>
      </c>
      <c r="C134" s="1" t="s">
        <v>34</v>
      </c>
      <c r="D134" s="1" t="s">
        <v>40</v>
      </c>
      <c r="E134" s="1" t="s">
        <v>14</v>
      </c>
      <c r="F134" s="1" t="s">
        <v>41</v>
      </c>
      <c r="G134" s="1" t="s">
        <v>42</v>
      </c>
      <c r="H134" s="13">
        <v>2.98199279711885</v>
      </c>
      <c r="I134" s="10">
        <v>9.1099159663865503E-2</v>
      </c>
      <c r="J134" s="13">
        <v>3.3643217286914799</v>
      </c>
      <c r="K134" s="10" t="s">
        <v>17</v>
      </c>
      <c r="L134" s="2" t="str">
        <f>_xlfn.XLOOKUP(D134,Products!A:A,Products!B:B)</f>
        <v>Office Chair</v>
      </c>
      <c r="M134" s="2" t="str">
        <f>_xlfn.XLOOKUP(D134,Products!A:A,Products!C:C)</f>
        <v>Furniture</v>
      </c>
      <c r="N134" s="2" t="str">
        <f>_xlfn.XLOOKUP(D134,Products!A:A,Products!D:D)</f>
        <v>Featherlite</v>
      </c>
      <c r="O134" s="2">
        <f>_xlfn.XLOOKUP(D134,Products!A:A,Products!E:E)</f>
        <v>4500</v>
      </c>
      <c r="P134" s="2">
        <f>_xlfn.XLOOKUP(D134,Products!A:A,Products!F:F)</f>
        <v>7500</v>
      </c>
      <c r="Q134" s="11">
        <f t="shared" si="10"/>
        <v>22364.945978391374</v>
      </c>
      <c r="R134" s="11">
        <f t="shared" si="11"/>
        <v>2037.4277845592023</v>
      </c>
      <c r="S134" s="11">
        <f t="shared" si="12"/>
        <v>20327.518193832169</v>
      </c>
      <c r="T134" s="11">
        <f t="shared" si="13"/>
        <v>13418.967587034826</v>
      </c>
      <c r="U134" s="11">
        <f t="shared" si="14"/>
        <v>6908.5506067973438</v>
      </c>
    </row>
    <row r="135" spans="1:21" x14ac:dyDescent="0.3">
      <c r="A135" s="1" t="s">
        <v>187</v>
      </c>
      <c r="B135" s="9">
        <v>46115</v>
      </c>
      <c r="C135" s="1" t="s">
        <v>36</v>
      </c>
      <c r="D135" s="1" t="s">
        <v>43</v>
      </c>
      <c r="E135" s="1" t="s">
        <v>44</v>
      </c>
      <c r="F135" s="1" t="s">
        <v>15</v>
      </c>
      <c r="G135" s="1" t="s">
        <v>23</v>
      </c>
      <c r="H135" s="13">
        <v>2.9855462184873902</v>
      </c>
      <c r="I135" s="10">
        <v>9.1247058823529403E-2</v>
      </c>
      <c r="J135" s="13">
        <v>3.3522689075630301</v>
      </c>
      <c r="K135" s="10" t="s">
        <v>17</v>
      </c>
      <c r="L135" s="2" t="str">
        <f>_xlfn.XLOOKUP(D135,Products!A:A,Products!B:B)</f>
        <v>Smartphone</v>
      </c>
      <c r="M135" s="2" t="str">
        <f>_xlfn.XLOOKUP(D135,Products!A:A,Products!C:C)</f>
        <v>Electronics</v>
      </c>
      <c r="N135" s="2" t="str">
        <f>_xlfn.XLOOKUP(D135,Products!A:A,Products!D:D)</f>
        <v>Samsung</v>
      </c>
      <c r="O135" s="2">
        <f>_xlfn.XLOOKUP(D135,Products!A:A,Products!E:E)</f>
        <v>14000</v>
      </c>
      <c r="P135" s="2">
        <f>_xlfn.XLOOKUP(D135,Products!A:A,Products!F:F)</f>
        <v>22000</v>
      </c>
      <c r="Q135" s="11">
        <f t="shared" si="10"/>
        <v>65682.01680672259</v>
      </c>
      <c r="R135" s="11">
        <f t="shared" si="11"/>
        <v>5993.2908512110635</v>
      </c>
      <c r="S135" s="11">
        <f t="shared" si="12"/>
        <v>59688.725955511523</v>
      </c>
      <c r="T135" s="11">
        <f t="shared" si="13"/>
        <v>41797.647058823466</v>
      </c>
      <c r="U135" s="11">
        <f t="shared" si="14"/>
        <v>17891.078896688057</v>
      </c>
    </row>
    <row r="136" spans="1:21" x14ac:dyDescent="0.3">
      <c r="A136" s="1" t="s">
        <v>188</v>
      </c>
      <c r="B136" s="9">
        <v>46116</v>
      </c>
      <c r="C136" s="1" t="s">
        <v>46</v>
      </c>
      <c r="D136" s="1" t="s">
        <v>47</v>
      </c>
      <c r="E136" s="1" t="s">
        <v>27</v>
      </c>
      <c r="F136" s="1" t="s">
        <v>22</v>
      </c>
      <c r="G136" s="1" t="s">
        <v>16</v>
      </c>
      <c r="H136" s="13">
        <v>2.9890996398559402</v>
      </c>
      <c r="I136" s="10">
        <v>9.1394957983193303E-2</v>
      </c>
      <c r="J136" s="13">
        <v>3.34021608643457</v>
      </c>
      <c r="K136" s="10" t="s">
        <v>48</v>
      </c>
      <c r="L136" s="2" t="str">
        <f>_xlfn.XLOOKUP(D136,Products!A:A,Products!B:B)</f>
        <v>Mixer Grinder</v>
      </c>
      <c r="M136" s="2" t="str">
        <f>_xlfn.XLOOKUP(D136,Products!A:A,Products!C:C)</f>
        <v>Home Appliances</v>
      </c>
      <c r="N136" s="2" t="str">
        <f>_xlfn.XLOOKUP(D136,Products!A:A,Products!D:D)</f>
        <v>Philips</v>
      </c>
      <c r="O136" s="2">
        <f>_xlfn.XLOOKUP(D136,Products!A:A,Products!E:E)</f>
        <v>2800</v>
      </c>
      <c r="P136" s="2">
        <f>_xlfn.XLOOKUP(D136,Products!A:A,Products!F:F)</f>
        <v>4800</v>
      </c>
      <c r="Q136" s="11">
        <f t="shared" si="10"/>
        <v>14347.678271308512</v>
      </c>
      <c r="R136" s="11">
        <f t="shared" si="11"/>
        <v>1311.3054527626171</v>
      </c>
      <c r="S136" s="11">
        <f t="shared" si="12"/>
        <v>13036.372818545895</v>
      </c>
      <c r="T136" s="11">
        <f t="shared" si="13"/>
        <v>8369.4789915966321</v>
      </c>
      <c r="U136" s="11">
        <f t="shared" si="14"/>
        <v>4666.8938269492628</v>
      </c>
    </row>
    <row r="137" spans="1:21" x14ac:dyDescent="0.3">
      <c r="A137" s="2" t="s">
        <v>189</v>
      </c>
      <c r="B137" s="6">
        <v>46116</v>
      </c>
      <c r="C137" s="2" t="s">
        <v>50</v>
      </c>
      <c r="D137" s="2" t="s">
        <v>51</v>
      </c>
      <c r="E137" s="2" t="s">
        <v>21</v>
      </c>
      <c r="F137" s="2" t="s">
        <v>52</v>
      </c>
      <c r="G137" s="2" t="s">
        <v>16</v>
      </c>
      <c r="H137" s="11">
        <v>2.9926530612244902</v>
      </c>
      <c r="I137" s="7">
        <v>9.1542857142857106E-2</v>
      </c>
      <c r="J137" s="11">
        <v>3.3281632653061202</v>
      </c>
      <c r="K137" s="2" t="s">
        <v>17</v>
      </c>
      <c r="L137" s="2" t="str">
        <f>_xlfn.XLOOKUP(D137,Products!A:A,Products!B:B)</f>
        <v>Shirt</v>
      </c>
      <c r="M137" s="2" t="str">
        <f>_xlfn.XLOOKUP(D137,Products!A:A,Products!C:C)</f>
        <v>Clothing</v>
      </c>
      <c r="N137" s="2" t="str">
        <f>_xlfn.XLOOKUP(D137,Products!A:A,Products!D:D)</f>
        <v>Levis</v>
      </c>
      <c r="O137" s="2">
        <f>_xlfn.XLOOKUP(D137,Products!A:A,Products!E:E)</f>
        <v>700</v>
      </c>
      <c r="P137" s="2">
        <f>_xlfn.XLOOKUP(D137,Products!A:A,Products!F:F)</f>
        <v>1500</v>
      </c>
      <c r="Q137" s="11">
        <f t="shared" si="10"/>
        <v>4488.9795918367354</v>
      </c>
      <c r="R137" s="11">
        <f t="shared" si="11"/>
        <v>410.93401749271129</v>
      </c>
      <c r="S137" s="11">
        <f t="shared" si="12"/>
        <v>4078.0455743440243</v>
      </c>
      <c r="T137" s="11">
        <f t="shared" si="13"/>
        <v>2094.8571428571431</v>
      </c>
      <c r="U137" s="11">
        <f t="shared" si="14"/>
        <v>1983.1884314868812</v>
      </c>
    </row>
    <row r="138" spans="1:21" x14ac:dyDescent="0.3">
      <c r="A138" s="2" t="s">
        <v>190</v>
      </c>
      <c r="B138" s="6">
        <v>46117</v>
      </c>
      <c r="C138" s="2" t="s">
        <v>54</v>
      </c>
      <c r="D138" s="2" t="s">
        <v>55</v>
      </c>
      <c r="E138" s="2" t="s">
        <v>38</v>
      </c>
      <c r="F138" s="2" t="s">
        <v>15</v>
      </c>
      <c r="G138" s="2" t="s">
        <v>29</v>
      </c>
      <c r="H138" s="11">
        <v>2.9962064825930299</v>
      </c>
      <c r="I138" s="7">
        <v>9.1690756302521007E-2</v>
      </c>
      <c r="J138" s="11">
        <v>3.3161104441776699</v>
      </c>
      <c r="K138" s="2" t="s">
        <v>30</v>
      </c>
      <c r="L138" s="2" t="str">
        <f>_xlfn.XLOOKUP(D138,Products!A:A,Products!B:B)</f>
        <v>Sports Shoes</v>
      </c>
      <c r="M138" s="2" t="str">
        <f>_xlfn.XLOOKUP(D138,Products!A:A,Products!C:C)</f>
        <v>Sports</v>
      </c>
      <c r="N138" s="2" t="str">
        <f>_xlfn.XLOOKUP(D138,Products!A:A,Products!D:D)</f>
        <v>Nike</v>
      </c>
      <c r="O138" s="2">
        <f>_xlfn.XLOOKUP(D138,Products!A:A,Products!E:E)</f>
        <v>2200</v>
      </c>
      <c r="P138" s="2">
        <f>_xlfn.XLOOKUP(D138,Products!A:A,Products!F:F)</f>
        <v>4500</v>
      </c>
      <c r="Q138" s="11">
        <f t="shared" si="10"/>
        <v>13482.929171668635</v>
      </c>
      <c r="R138" s="11">
        <f t="shared" si="11"/>
        <v>1236.2599729236201</v>
      </c>
      <c r="S138" s="11">
        <f t="shared" si="12"/>
        <v>12246.669198745014</v>
      </c>
      <c r="T138" s="11">
        <f t="shared" si="13"/>
        <v>6591.6542617046662</v>
      </c>
      <c r="U138" s="11">
        <f t="shared" si="14"/>
        <v>5655.0149370403478</v>
      </c>
    </row>
    <row r="139" spans="1:21" x14ac:dyDescent="0.3">
      <c r="A139" s="2" t="s">
        <v>191</v>
      </c>
      <c r="B139" s="6">
        <v>46117</v>
      </c>
      <c r="C139" s="2" t="s">
        <v>57</v>
      </c>
      <c r="D139" s="2" t="s">
        <v>58</v>
      </c>
      <c r="E139" s="2" t="s">
        <v>44</v>
      </c>
      <c r="F139" s="2" t="s">
        <v>41</v>
      </c>
      <c r="G139" s="2" t="s">
        <v>23</v>
      </c>
      <c r="H139" s="11">
        <v>2.9997599039615799</v>
      </c>
      <c r="I139" s="7">
        <v>9.1838655462184907E-2</v>
      </c>
      <c r="J139" s="11">
        <v>3.30405762304922</v>
      </c>
      <c r="K139" s="2" t="s">
        <v>17</v>
      </c>
      <c r="L139" s="2" t="str">
        <f>_xlfn.XLOOKUP(D139,Products!A:A,Products!B:B)</f>
        <v>Study Table</v>
      </c>
      <c r="M139" s="2" t="str">
        <f>_xlfn.XLOOKUP(D139,Products!A:A,Products!C:C)</f>
        <v>Furniture</v>
      </c>
      <c r="N139" s="2" t="str">
        <f>_xlfn.XLOOKUP(D139,Products!A:A,Products!D:D)</f>
        <v>Ikea</v>
      </c>
      <c r="O139" s="2">
        <f>_xlfn.XLOOKUP(D139,Products!A:A,Products!E:E)</f>
        <v>5000</v>
      </c>
      <c r="P139" s="2">
        <f>_xlfn.XLOOKUP(D139,Products!A:A,Products!F:F)</f>
        <v>8500</v>
      </c>
      <c r="Q139" s="11">
        <f t="shared" si="10"/>
        <v>25497.959183673429</v>
      </c>
      <c r="R139" s="11">
        <f t="shared" si="11"/>
        <v>2341.6982884582376</v>
      </c>
      <c r="S139" s="11">
        <f t="shared" si="12"/>
        <v>23156.260895215193</v>
      </c>
      <c r="T139" s="11">
        <f t="shared" si="13"/>
        <v>14998.799519807899</v>
      </c>
      <c r="U139" s="11">
        <f t="shared" si="14"/>
        <v>8157.4613754072943</v>
      </c>
    </row>
    <row r="140" spans="1:21" x14ac:dyDescent="0.3">
      <c r="A140" s="2" t="s">
        <v>192</v>
      </c>
      <c r="B140" s="6">
        <v>46118</v>
      </c>
      <c r="C140" s="2" t="s">
        <v>60</v>
      </c>
      <c r="D140" s="2" t="s">
        <v>13</v>
      </c>
      <c r="E140" s="2" t="s">
        <v>14</v>
      </c>
      <c r="F140" s="2" t="s">
        <v>22</v>
      </c>
      <c r="G140" s="2" t="s">
        <v>16</v>
      </c>
      <c r="H140" s="11">
        <v>3.0033133253301298</v>
      </c>
      <c r="I140" s="7">
        <v>9.1986554621848696E-2</v>
      </c>
      <c r="J140" s="11">
        <v>3.2920048019207702</v>
      </c>
      <c r="K140" s="2" t="s">
        <v>17</v>
      </c>
      <c r="L140" s="2" t="str">
        <f>_xlfn.XLOOKUP(D140,Products!A:A,Products!B:B)</f>
        <v>Laptop</v>
      </c>
      <c r="M140" s="2" t="str">
        <f>_xlfn.XLOOKUP(D140,Products!A:A,Products!C:C)</f>
        <v>Electronics</v>
      </c>
      <c r="N140" s="2" t="str">
        <f>_xlfn.XLOOKUP(D140,Products!A:A,Products!D:D)</f>
        <v>HP</v>
      </c>
      <c r="O140" s="2">
        <f>_xlfn.XLOOKUP(D140,Products!A:A,Products!E:E)</f>
        <v>42000</v>
      </c>
      <c r="P140" s="2">
        <f>_xlfn.XLOOKUP(D140,Products!A:A,Products!F:F)</f>
        <v>55000</v>
      </c>
      <c r="Q140" s="11">
        <f t="shared" si="10"/>
        <v>165182.23289315714</v>
      </c>
      <c r="R140" s="11">
        <f t="shared" si="11"/>
        <v>15194.544488585332</v>
      </c>
      <c r="S140" s="11">
        <f t="shared" si="12"/>
        <v>149987.68840457182</v>
      </c>
      <c r="T140" s="11">
        <f t="shared" si="13"/>
        <v>126139.15966386546</v>
      </c>
      <c r="U140" s="11">
        <f t="shared" si="14"/>
        <v>23848.528740706359</v>
      </c>
    </row>
    <row r="141" spans="1:21" x14ac:dyDescent="0.3">
      <c r="A141" s="2" t="s">
        <v>193</v>
      </c>
      <c r="B141" s="6">
        <v>46118</v>
      </c>
      <c r="C141" s="2" t="s">
        <v>62</v>
      </c>
      <c r="D141" s="2" t="s">
        <v>26</v>
      </c>
      <c r="E141" s="2" t="s">
        <v>27</v>
      </c>
      <c r="F141" s="2" t="s">
        <v>15</v>
      </c>
      <c r="G141" s="2" t="s">
        <v>42</v>
      </c>
      <c r="H141" s="11">
        <v>3.0068667466986798</v>
      </c>
      <c r="I141" s="7">
        <v>9.2134453781512596E-2</v>
      </c>
      <c r="J141" s="11">
        <v>3.2799519807923199</v>
      </c>
      <c r="K141" s="2" t="s">
        <v>17</v>
      </c>
      <c r="L141" s="2" t="str">
        <f>_xlfn.XLOOKUP(D141,Products!A:A,Products!B:B)</f>
        <v>Face Wash</v>
      </c>
      <c r="M141" s="2" t="str">
        <f>_xlfn.XLOOKUP(D141,Products!A:A,Products!C:C)</f>
        <v>Beauty</v>
      </c>
      <c r="N141" s="2" t="str">
        <f>_xlfn.XLOOKUP(D141,Products!A:A,Products!D:D)</f>
        <v>Nivea</v>
      </c>
      <c r="O141" s="2">
        <f>_xlfn.XLOOKUP(D141,Products!A:A,Products!E:E)</f>
        <v>180</v>
      </c>
      <c r="P141" s="2">
        <f>_xlfn.XLOOKUP(D141,Products!A:A,Products!F:F)</f>
        <v>350</v>
      </c>
      <c r="Q141" s="11">
        <f t="shared" si="10"/>
        <v>1052.4033613445379</v>
      </c>
      <c r="R141" s="11">
        <f t="shared" si="11"/>
        <v>96.962608855306826</v>
      </c>
      <c r="S141" s="11">
        <f t="shared" si="12"/>
        <v>955.44075248923104</v>
      </c>
      <c r="T141" s="11">
        <f t="shared" si="13"/>
        <v>541.23601440576238</v>
      </c>
      <c r="U141" s="11">
        <f t="shared" si="14"/>
        <v>414.20473808346867</v>
      </c>
    </row>
    <row r="142" spans="1:21" x14ac:dyDescent="0.3">
      <c r="A142" s="2" t="s">
        <v>194</v>
      </c>
      <c r="B142" s="6">
        <v>46119</v>
      </c>
      <c r="C142" s="2" t="s">
        <v>64</v>
      </c>
      <c r="D142" s="2" t="s">
        <v>20</v>
      </c>
      <c r="E142" s="2" t="s">
        <v>21</v>
      </c>
      <c r="F142" s="2" t="s">
        <v>39</v>
      </c>
      <c r="G142" s="2" t="s">
        <v>23</v>
      </c>
      <c r="H142" s="11">
        <v>3.01042016806722</v>
      </c>
      <c r="I142" s="7">
        <v>9.2282352941176496E-2</v>
      </c>
      <c r="J142" s="11">
        <v>3.26789915966387</v>
      </c>
      <c r="K142" s="2" t="s">
        <v>17</v>
      </c>
      <c r="L142" s="2" t="str">
        <f>_xlfn.XLOOKUP(D142,Products!A:A,Products!B:B)</f>
        <v>Jeans</v>
      </c>
      <c r="M142" s="2" t="str">
        <f>_xlfn.XLOOKUP(D142,Products!A:A,Products!C:C)</f>
        <v>Clothing</v>
      </c>
      <c r="N142" s="2" t="str">
        <f>_xlfn.XLOOKUP(D142,Products!A:A,Products!D:D)</f>
        <v>Wrangler</v>
      </c>
      <c r="O142" s="2">
        <f>_xlfn.XLOOKUP(D142,Products!A:A,Products!E:E)</f>
        <v>1100</v>
      </c>
      <c r="P142" s="2">
        <f>_xlfn.XLOOKUP(D142,Products!A:A,Products!F:F)</f>
        <v>2200</v>
      </c>
      <c r="Q142" s="11">
        <f t="shared" si="10"/>
        <v>6622.9243697478842</v>
      </c>
      <c r="R142" s="11">
        <f t="shared" si="11"/>
        <v>611.1790441917932</v>
      </c>
      <c r="S142" s="11">
        <f t="shared" si="12"/>
        <v>6011.7453255560913</v>
      </c>
      <c r="T142" s="11">
        <f t="shared" si="13"/>
        <v>3311.4621848739421</v>
      </c>
      <c r="U142" s="11">
        <f t="shared" si="14"/>
        <v>2700.2831406821492</v>
      </c>
    </row>
    <row r="143" spans="1:21" x14ac:dyDescent="0.3">
      <c r="A143" s="2" t="s">
        <v>195</v>
      </c>
      <c r="B143" s="6">
        <v>46119</v>
      </c>
      <c r="C143" s="2" t="s">
        <v>66</v>
      </c>
      <c r="D143" s="2" t="s">
        <v>37</v>
      </c>
      <c r="E143" s="2" t="s">
        <v>38</v>
      </c>
      <c r="F143" s="2" t="s">
        <v>15</v>
      </c>
      <c r="G143" s="2" t="s">
        <v>16</v>
      </c>
      <c r="H143" s="11">
        <v>3.01397358943577</v>
      </c>
      <c r="I143" s="7">
        <v>9.2430252100840299E-2</v>
      </c>
      <c r="J143" s="11">
        <v>3.2558463385354099</v>
      </c>
      <c r="K143" s="2" t="s">
        <v>17</v>
      </c>
      <c r="L143" s="2" t="str">
        <f>_xlfn.XLOOKUP(D143,Products!A:A,Products!B:B)</f>
        <v>Headphones</v>
      </c>
      <c r="M143" s="2" t="str">
        <f>_xlfn.XLOOKUP(D143,Products!A:A,Products!C:C)</f>
        <v>Electronics</v>
      </c>
      <c r="N143" s="2" t="str">
        <f>_xlfn.XLOOKUP(D143,Products!A:A,Products!D:D)</f>
        <v>Sony</v>
      </c>
      <c r="O143" s="2">
        <f>_xlfn.XLOOKUP(D143,Products!A:A,Products!E:E)</f>
        <v>1800</v>
      </c>
      <c r="P143" s="2">
        <f>_xlfn.XLOOKUP(D143,Products!A:A,Products!F:F)</f>
        <v>3200</v>
      </c>
      <c r="Q143" s="11">
        <f t="shared" si="10"/>
        <v>9644.7154861944637</v>
      </c>
      <c r="R143" s="11">
        <f t="shared" si="11"/>
        <v>891.46348382983274</v>
      </c>
      <c r="S143" s="11">
        <f t="shared" si="12"/>
        <v>8753.2520023646302</v>
      </c>
      <c r="T143" s="11">
        <f t="shared" si="13"/>
        <v>5425.1524609843864</v>
      </c>
      <c r="U143" s="11">
        <f t="shared" si="14"/>
        <v>3328.0995413802439</v>
      </c>
    </row>
    <row r="144" spans="1:21" x14ac:dyDescent="0.3">
      <c r="A144" s="2" t="s">
        <v>196</v>
      </c>
      <c r="B144" s="6">
        <v>46120</v>
      </c>
      <c r="C144" s="2" t="s">
        <v>68</v>
      </c>
      <c r="D144" s="2" t="s">
        <v>40</v>
      </c>
      <c r="E144" s="2" t="s">
        <v>44</v>
      </c>
      <c r="F144" s="2" t="s">
        <v>22</v>
      </c>
      <c r="G144" s="2" t="s">
        <v>29</v>
      </c>
      <c r="H144" s="11">
        <v>3.01752701080432</v>
      </c>
      <c r="I144" s="7">
        <v>9.2578151260504199E-2</v>
      </c>
      <c r="J144" s="11">
        <v>3.2437935174069601</v>
      </c>
      <c r="K144" s="2" t="s">
        <v>30</v>
      </c>
      <c r="L144" s="2" t="str">
        <f>_xlfn.XLOOKUP(D144,Products!A:A,Products!B:B)</f>
        <v>Office Chair</v>
      </c>
      <c r="M144" s="2" t="str">
        <f>_xlfn.XLOOKUP(D144,Products!A:A,Products!C:C)</f>
        <v>Furniture</v>
      </c>
      <c r="N144" s="2" t="str">
        <f>_xlfn.XLOOKUP(D144,Products!A:A,Products!D:D)</f>
        <v>Featherlite</v>
      </c>
      <c r="O144" s="2">
        <f>_xlfn.XLOOKUP(D144,Products!A:A,Products!E:E)</f>
        <v>4500</v>
      </c>
      <c r="P144" s="2">
        <f>_xlfn.XLOOKUP(D144,Products!A:A,Products!F:F)</f>
        <v>7500</v>
      </c>
      <c r="Q144" s="11">
        <f t="shared" si="10"/>
        <v>22631.452581032401</v>
      </c>
      <c r="R144" s="11">
        <f t="shared" si="11"/>
        <v>2095.1780402917457</v>
      </c>
      <c r="S144" s="11">
        <f t="shared" si="12"/>
        <v>20536.274540740655</v>
      </c>
      <c r="T144" s="11">
        <f t="shared" si="13"/>
        <v>13578.87154861944</v>
      </c>
      <c r="U144" s="11">
        <f t="shared" si="14"/>
        <v>6957.402992121215</v>
      </c>
    </row>
    <row r="145" spans="1:21" x14ac:dyDescent="0.3">
      <c r="A145" s="2" t="s">
        <v>197</v>
      </c>
      <c r="B145" s="6">
        <v>46120</v>
      </c>
      <c r="C145" s="2" t="s">
        <v>12</v>
      </c>
      <c r="D145" s="2" t="s">
        <v>43</v>
      </c>
      <c r="E145" s="2" t="s">
        <v>14</v>
      </c>
      <c r="F145" s="2" t="s">
        <v>15</v>
      </c>
      <c r="G145" s="2" t="s">
        <v>16</v>
      </c>
      <c r="H145" s="11">
        <v>3.0210804321728699</v>
      </c>
      <c r="I145" s="7">
        <v>9.2726050420168099E-2</v>
      </c>
      <c r="J145" s="11">
        <v>3.2317406962785098</v>
      </c>
      <c r="K145" s="2" t="s">
        <v>17</v>
      </c>
      <c r="L145" s="2" t="str">
        <f>_xlfn.XLOOKUP(D145,Products!A:A,Products!B:B)</f>
        <v>Smartphone</v>
      </c>
      <c r="M145" s="2" t="str">
        <f>_xlfn.XLOOKUP(D145,Products!A:A,Products!C:C)</f>
        <v>Electronics</v>
      </c>
      <c r="N145" s="2" t="str">
        <f>_xlfn.XLOOKUP(D145,Products!A:A,Products!D:D)</f>
        <v>Samsung</v>
      </c>
      <c r="O145" s="2">
        <f>_xlfn.XLOOKUP(D145,Products!A:A,Products!E:E)</f>
        <v>14000</v>
      </c>
      <c r="P145" s="2">
        <f>_xlfn.XLOOKUP(D145,Products!A:A,Products!F:F)</f>
        <v>22000</v>
      </c>
      <c r="Q145" s="11">
        <f t="shared" si="10"/>
        <v>66463.769507803139</v>
      </c>
      <c r="R145" s="11">
        <f t="shared" si="11"/>
        <v>6162.9228424949852</v>
      </c>
      <c r="S145" s="11">
        <f t="shared" si="12"/>
        <v>60300.846665308156</v>
      </c>
      <c r="T145" s="11">
        <f t="shared" si="13"/>
        <v>42295.126050420178</v>
      </c>
      <c r="U145" s="11">
        <f t="shared" si="14"/>
        <v>18005.720614887978</v>
      </c>
    </row>
    <row r="146" spans="1:21" x14ac:dyDescent="0.3">
      <c r="A146" s="2" t="s">
        <v>198</v>
      </c>
      <c r="B146" s="6">
        <v>46121</v>
      </c>
      <c r="C146" s="2" t="s">
        <v>19</v>
      </c>
      <c r="D146" s="2" t="s">
        <v>47</v>
      </c>
      <c r="E146" s="2" t="s">
        <v>27</v>
      </c>
      <c r="F146" s="2" t="s">
        <v>41</v>
      </c>
      <c r="G146" s="2" t="s">
        <v>23</v>
      </c>
      <c r="H146" s="11">
        <v>3.0246338535414101</v>
      </c>
      <c r="I146" s="7">
        <v>9.2873949579831902E-2</v>
      </c>
      <c r="J146" s="11">
        <v>3.2196878751500599</v>
      </c>
      <c r="K146" s="2" t="s">
        <v>17</v>
      </c>
      <c r="L146" s="2" t="str">
        <f>_xlfn.XLOOKUP(D146,Products!A:A,Products!B:B)</f>
        <v>Mixer Grinder</v>
      </c>
      <c r="M146" s="2" t="str">
        <f>_xlfn.XLOOKUP(D146,Products!A:A,Products!C:C)</f>
        <v>Home Appliances</v>
      </c>
      <c r="N146" s="2" t="str">
        <f>_xlfn.XLOOKUP(D146,Products!A:A,Products!D:D)</f>
        <v>Philips</v>
      </c>
      <c r="O146" s="2">
        <f>_xlfn.XLOOKUP(D146,Products!A:A,Products!E:E)</f>
        <v>2800</v>
      </c>
      <c r="P146" s="2">
        <f>_xlfn.XLOOKUP(D146,Products!A:A,Products!F:F)</f>
        <v>4800</v>
      </c>
      <c r="Q146" s="11">
        <f t="shared" si="10"/>
        <v>14518.242496998768</v>
      </c>
      <c r="R146" s="11">
        <f t="shared" si="11"/>
        <v>1348.3665216540364</v>
      </c>
      <c r="S146" s="11">
        <f t="shared" si="12"/>
        <v>13169.875975344732</v>
      </c>
      <c r="T146" s="11">
        <f t="shared" si="13"/>
        <v>8468.9747899159483</v>
      </c>
      <c r="U146" s="11">
        <f t="shared" si="14"/>
        <v>4700.9011854287837</v>
      </c>
    </row>
    <row r="147" spans="1:21" x14ac:dyDescent="0.3">
      <c r="A147" s="2" t="s">
        <v>199</v>
      </c>
      <c r="B147" s="6">
        <v>46121</v>
      </c>
      <c r="C147" s="2" t="s">
        <v>25</v>
      </c>
      <c r="D147" s="2" t="s">
        <v>51</v>
      </c>
      <c r="E147" s="2" t="s">
        <v>21</v>
      </c>
      <c r="F147" s="2" t="s">
        <v>52</v>
      </c>
      <c r="G147" s="2" t="s">
        <v>29</v>
      </c>
      <c r="H147" s="11">
        <v>3.0281872749099601</v>
      </c>
      <c r="I147" s="7">
        <v>9.3021848739495802E-2</v>
      </c>
      <c r="J147" s="11">
        <v>3.2076350540216101</v>
      </c>
      <c r="K147" s="2" t="s">
        <v>30</v>
      </c>
      <c r="L147" s="2" t="str">
        <f>_xlfn.XLOOKUP(D147,Products!A:A,Products!B:B)</f>
        <v>Shirt</v>
      </c>
      <c r="M147" s="2" t="str">
        <f>_xlfn.XLOOKUP(D147,Products!A:A,Products!C:C)</f>
        <v>Clothing</v>
      </c>
      <c r="N147" s="2" t="str">
        <f>_xlfn.XLOOKUP(D147,Products!A:A,Products!D:D)</f>
        <v>Levis</v>
      </c>
      <c r="O147" s="2">
        <f>_xlfn.XLOOKUP(D147,Products!A:A,Products!E:E)</f>
        <v>700</v>
      </c>
      <c r="P147" s="2">
        <f>_xlfn.XLOOKUP(D147,Products!A:A,Products!F:F)</f>
        <v>1500</v>
      </c>
      <c r="Q147" s="11">
        <f t="shared" si="10"/>
        <v>4542.2809123649404</v>
      </c>
      <c r="R147" s="11">
        <f t="shared" si="11"/>
        <v>422.53136796231047</v>
      </c>
      <c r="S147" s="11">
        <f t="shared" si="12"/>
        <v>4119.7495444026299</v>
      </c>
      <c r="T147" s="11">
        <f t="shared" si="13"/>
        <v>2119.7310924369722</v>
      </c>
      <c r="U147" s="11">
        <f t="shared" si="14"/>
        <v>2000.0184519656577</v>
      </c>
    </row>
    <row r="148" spans="1:21" x14ac:dyDescent="0.3">
      <c r="A148" s="2" t="s">
        <v>200</v>
      </c>
      <c r="B148" s="6">
        <v>46122</v>
      </c>
      <c r="C148" s="2" t="s">
        <v>32</v>
      </c>
      <c r="D148" s="2" t="s">
        <v>55</v>
      </c>
      <c r="E148" s="2" t="s">
        <v>38</v>
      </c>
      <c r="F148" s="2" t="s">
        <v>22</v>
      </c>
      <c r="G148" s="2" t="s">
        <v>16</v>
      </c>
      <c r="H148" s="11">
        <v>3.0317406962785101</v>
      </c>
      <c r="I148" s="7">
        <v>9.3169747899159702E-2</v>
      </c>
      <c r="J148" s="11">
        <v>3.1955822328931598</v>
      </c>
      <c r="K148" s="2" t="s">
        <v>17</v>
      </c>
      <c r="L148" s="2" t="str">
        <f>_xlfn.XLOOKUP(D148,Products!A:A,Products!B:B)</f>
        <v>Sports Shoes</v>
      </c>
      <c r="M148" s="2" t="str">
        <f>_xlfn.XLOOKUP(D148,Products!A:A,Products!C:C)</f>
        <v>Sports</v>
      </c>
      <c r="N148" s="2" t="str">
        <f>_xlfn.XLOOKUP(D148,Products!A:A,Products!D:D)</f>
        <v>Nike</v>
      </c>
      <c r="O148" s="2">
        <f>_xlfn.XLOOKUP(D148,Products!A:A,Products!E:E)</f>
        <v>2200</v>
      </c>
      <c r="P148" s="2">
        <f>_xlfn.XLOOKUP(D148,Products!A:A,Products!F:F)</f>
        <v>4500</v>
      </c>
      <c r="Q148" s="11">
        <f t="shared" si="10"/>
        <v>13642.833133253296</v>
      </c>
      <c r="R148" s="11">
        <f t="shared" si="11"/>
        <v>1271.0993236555128</v>
      </c>
      <c r="S148" s="11">
        <f t="shared" si="12"/>
        <v>12371.733809597783</v>
      </c>
      <c r="T148" s="11">
        <f t="shared" si="13"/>
        <v>6669.8295318127221</v>
      </c>
      <c r="U148" s="11">
        <f t="shared" si="14"/>
        <v>5701.9042777850609</v>
      </c>
    </row>
    <row r="149" spans="1:21" x14ac:dyDescent="0.3">
      <c r="A149" s="2" t="s">
        <v>201</v>
      </c>
      <c r="B149" s="6">
        <v>46122</v>
      </c>
      <c r="C149" s="2" t="s">
        <v>34</v>
      </c>
      <c r="D149" s="2" t="s">
        <v>58</v>
      </c>
      <c r="E149" s="2" t="s">
        <v>44</v>
      </c>
      <c r="F149" s="2" t="s">
        <v>15</v>
      </c>
      <c r="G149" s="2" t="s">
        <v>23</v>
      </c>
      <c r="H149" s="11">
        <v>3.03529411764706</v>
      </c>
      <c r="I149" s="7">
        <v>9.3317647058823505E-2</v>
      </c>
      <c r="J149" s="11">
        <v>3.1835294117647099</v>
      </c>
      <c r="K149" s="2" t="s">
        <v>17</v>
      </c>
      <c r="L149" s="2" t="str">
        <f>_xlfn.XLOOKUP(D149,Products!A:A,Products!B:B)</f>
        <v>Study Table</v>
      </c>
      <c r="M149" s="2" t="str">
        <f>_xlfn.XLOOKUP(D149,Products!A:A,Products!C:C)</f>
        <v>Furniture</v>
      </c>
      <c r="N149" s="2" t="str">
        <f>_xlfn.XLOOKUP(D149,Products!A:A,Products!D:D)</f>
        <v>Ikea</v>
      </c>
      <c r="O149" s="2">
        <f>_xlfn.XLOOKUP(D149,Products!A:A,Products!E:E)</f>
        <v>5000</v>
      </c>
      <c r="P149" s="2">
        <f>_xlfn.XLOOKUP(D149,Products!A:A,Products!F:F)</f>
        <v>8500</v>
      </c>
      <c r="Q149" s="11">
        <f t="shared" si="10"/>
        <v>25800.000000000011</v>
      </c>
      <c r="R149" s="11">
        <f t="shared" si="11"/>
        <v>2407.5952941176474</v>
      </c>
      <c r="S149" s="11">
        <f t="shared" si="12"/>
        <v>23392.404705882363</v>
      </c>
      <c r="T149" s="11">
        <f t="shared" si="13"/>
        <v>15176.470588235301</v>
      </c>
      <c r="U149" s="11">
        <f t="shared" si="14"/>
        <v>8215.9341176470625</v>
      </c>
    </row>
    <row r="150" spans="1:21" x14ac:dyDescent="0.3">
      <c r="A150" s="2" t="s">
        <v>202</v>
      </c>
      <c r="B150" s="6">
        <v>46123</v>
      </c>
      <c r="C150" s="2" t="s">
        <v>36</v>
      </c>
      <c r="D150" s="2" t="s">
        <v>13</v>
      </c>
      <c r="E150" s="2" t="s">
        <v>14</v>
      </c>
      <c r="F150" s="2" t="s">
        <v>39</v>
      </c>
      <c r="G150" s="2" t="s">
        <v>16</v>
      </c>
      <c r="H150" s="11">
        <v>3.0388475390155998</v>
      </c>
      <c r="I150" s="7">
        <v>9.3465546218487405E-2</v>
      </c>
      <c r="J150" s="11">
        <v>3.1714765906362499</v>
      </c>
      <c r="K150" s="2" t="s">
        <v>17</v>
      </c>
      <c r="L150" s="2" t="str">
        <f>_xlfn.XLOOKUP(D150,Products!A:A,Products!B:B)</f>
        <v>Laptop</v>
      </c>
      <c r="M150" s="2" t="str">
        <f>_xlfn.XLOOKUP(D150,Products!A:A,Products!C:C)</f>
        <v>Electronics</v>
      </c>
      <c r="N150" s="2" t="str">
        <f>_xlfn.XLOOKUP(D150,Products!A:A,Products!D:D)</f>
        <v>HP</v>
      </c>
      <c r="O150" s="2">
        <f>_xlfn.XLOOKUP(D150,Products!A:A,Products!E:E)</f>
        <v>42000</v>
      </c>
      <c r="P150" s="2">
        <f>_xlfn.XLOOKUP(D150,Products!A:A,Products!F:F)</f>
        <v>55000</v>
      </c>
      <c r="Q150" s="11">
        <f t="shared" si="10"/>
        <v>167136.61464585798</v>
      </c>
      <c r="R150" s="11">
        <f t="shared" si="11"/>
        <v>15621.514980983957</v>
      </c>
      <c r="S150" s="11">
        <f t="shared" si="12"/>
        <v>151515.09966487403</v>
      </c>
      <c r="T150" s="11">
        <f t="shared" si="13"/>
        <v>127631.59663865519</v>
      </c>
      <c r="U150" s="11">
        <f t="shared" si="14"/>
        <v>23883.503026218837</v>
      </c>
    </row>
    <row r="151" spans="1:21" x14ac:dyDescent="0.3">
      <c r="A151" s="2" t="s">
        <v>203</v>
      </c>
      <c r="B151" s="6">
        <v>46123</v>
      </c>
      <c r="C151" s="2" t="s">
        <v>46</v>
      </c>
      <c r="D151" s="2" t="s">
        <v>20</v>
      </c>
      <c r="E151" s="2" t="s">
        <v>27</v>
      </c>
      <c r="F151" s="2" t="s">
        <v>15</v>
      </c>
      <c r="G151" s="2" t="s">
        <v>29</v>
      </c>
      <c r="H151" s="11">
        <v>3.0424009603841502</v>
      </c>
      <c r="I151" s="7">
        <v>9.3613445378151194E-2</v>
      </c>
      <c r="J151" s="11">
        <v>3.1594237695078</v>
      </c>
      <c r="K151" s="2" t="s">
        <v>17</v>
      </c>
      <c r="L151" s="2" t="str">
        <f>_xlfn.XLOOKUP(D151,Products!A:A,Products!B:B)</f>
        <v>Jeans</v>
      </c>
      <c r="M151" s="2" t="str">
        <f>_xlfn.XLOOKUP(D151,Products!A:A,Products!C:C)</f>
        <v>Clothing</v>
      </c>
      <c r="N151" s="2" t="str">
        <f>_xlfn.XLOOKUP(D151,Products!A:A,Products!D:D)</f>
        <v>Wrangler</v>
      </c>
      <c r="O151" s="2">
        <f>_xlfn.XLOOKUP(D151,Products!A:A,Products!E:E)</f>
        <v>1100</v>
      </c>
      <c r="P151" s="2">
        <f>_xlfn.XLOOKUP(D151,Products!A:A,Products!F:F)</f>
        <v>2200</v>
      </c>
      <c r="Q151" s="11">
        <f t="shared" si="10"/>
        <v>6693.2821128451305</v>
      </c>
      <c r="R151" s="11">
        <f t="shared" si="11"/>
        <v>626.58119947138402</v>
      </c>
      <c r="S151" s="11">
        <f t="shared" si="12"/>
        <v>6066.7009133737465</v>
      </c>
      <c r="T151" s="11">
        <f t="shared" si="13"/>
        <v>3346.6410564225653</v>
      </c>
      <c r="U151" s="11">
        <f t="shared" si="14"/>
        <v>2720.0598569511812</v>
      </c>
    </row>
    <row r="152" spans="1:21" x14ac:dyDescent="0.3">
      <c r="A152" s="2" t="s">
        <v>204</v>
      </c>
      <c r="B152" s="6">
        <v>46124</v>
      </c>
      <c r="C152" s="2" t="s">
        <v>50</v>
      </c>
      <c r="D152" s="2" t="s">
        <v>26</v>
      </c>
      <c r="E152" s="2" t="s">
        <v>21</v>
      </c>
      <c r="F152" s="2" t="s">
        <v>41</v>
      </c>
      <c r="G152" s="2" t="s">
        <v>23</v>
      </c>
      <c r="H152" s="11">
        <v>3.0459543817527002</v>
      </c>
      <c r="I152" s="7">
        <v>9.3761344537815094E-2</v>
      </c>
      <c r="J152" s="11">
        <v>3.1473709483793502</v>
      </c>
      <c r="K152" s="2" t="s">
        <v>17</v>
      </c>
      <c r="L152" s="2" t="str">
        <f>_xlfn.XLOOKUP(D152,Products!A:A,Products!B:B)</f>
        <v>Face Wash</v>
      </c>
      <c r="M152" s="2" t="str">
        <f>_xlfn.XLOOKUP(D152,Products!A:A,Products!C:C)</f>
        <v>Beauty</v>
      </c>
      <c r="N152" s="2" t="str">
        <f>_xlfn.XLOOKUP(D152,Products!A:A,Products!D:D)</f>
        <v>Nivea</v>
      </c>
      <c r="O152" s="2">
        <f>_xlfn.XLOOKUP(D152,Products!A:A,Products!E:E)</f>
        <v>180</v>
      </c>
      <c r="P152" s="2">
        <f>_xlfn.XLOOKUP(D152,Products!A:A,Products!F:F)</f>
        <v>350</v>
      </c>
      <c r="Q152" s="11">
        <f t="shared" si="10"/>
        <v>1066.0840336134452</v>
      </c>
      <c r="R152" s="11">
        <f t="shared" si="11"/>
        <v>99.957472381893879</v>
      </c>
      <c r="S152" s="11">
        <f t="shared" si="12"/>
        <v>966.12656123155125</v>
      </c>
      <c r="T152" s="11">
        <f t="shared" si="13"/>
        <v>548.27178871548608</v>
      </c>
      <c r="U152" s="11">
        <f t="shared" si="14"/>
        <v>417.85477251606517</v>
      </c>
    </row>
    <row r="153" spans="1:21" x14ac:dyDescent="0.3">
      <c r="A153" s="2" t="s">
        <v>205</v>
      </c>
      <c r="B153" s="6">
        <v>46124</v>
      </c>
      <c r="C153" s="2" t="s">
        <v>54</v>
      </c>
      <c r="D153" s="2" t="s">
        <v>37</v>
      </c>
      <c r="E153" s="2" t="s">
        <v>38</v>
      </c>
      <c r="F153" s="2" t="s">
        <v>22</v>
      </c>
      <c r="G153" s="2" t="s">
        <v>16</v>
      </c>
      <c r="H153" s="11">
        <v>3.0495078031212501</v>
      </c>
      <c r="I153" s="7">
        <v>9.3909243697478995E-2</v>
      </c>
      <c r="J153" s="11">
        <v>3.1353181272508999</v>
      </c>
      <c r="K153" s="2" t="s">
        <v>30</v>
      </c>
      <c r="L153" s="2" t="str">
        <f>_xlfn.XLOOKUP(D153,Products!A:A,Products!B:B)</f>
        <v>Headphones</v>
      </c>
      <c r="M153" s="2" t="str">
        <f>_xlfn.XLOOKUP(D153,Products!A:A,Products!C:C)</f>
        <v>Electronics</v>
      </c>
      <c r="N153" s="2" t="str">
        <f>_xlfn.XLOOKUP(D153,Products!A:A,Products!D:D)</f>
        <v>Sony</v>
      </c>
      <c r="O153" s="2">
        <f>_xlfn.XLOOKUP(D153,Products!A:A,Products!E:E)</f>
        <v>1800</v>
      </c>
      <c r="P153" s="2">
        <f>_xlfn.XLOOKUP(D153,Products!A:A,Products!F:F)</f>
        <v>3200</v>
      </c>
      <c r="Q153" s="11">
        <f t="shared" si="10"/>
        <v>9758.4249699880002</v>
      </c>
      <c r="R153" s="11">
        <f t="shared" si="11"/>
        <v>916.40630861016723</v>
      </c>
      <c r="S153" s="11">
        <f t="shared" si="12"/>
        <v>8842.0186613778333</v>
      </c>
      <c r="T153" s="11">
        <f t="shared" si="13"/>
        <v>5489.1140456182502</v>
      </c>
      <c r="U153" s="11">
        <f t="shared" si="14"/>
        <v>3352.9046157595831</v>
      </c>
    </row>
    <row r="154" spans="1:21" x14ac:dyDescent="0.3">
      <c r="A154" s="2" t="s">
        <v>206</v>
      </c>
      <c r="B154" s="6">
        <v>46125</v>
      </c>
      <c r="C154" s="2" t="s">
        <v>57</v>
      </c>
      <c r="D154" s="2" t="s">
        <v>40</v>
      </c>
      <c r="E154" s="2" t="s">
        <v>44</v>
      </c>
      <c r="F154" s="2" t="s">
        <v>15</v>
      </c>
      <c r="G154" s="2" t="s">
        <v>42</v>
      </c>
      <c r="H154" s="11">
        <v>3.0530612244897899</v>
      </c>
      <c r="I154" s="7">
        <v>9.4057142857142798E-2</v>
      </c>
      <c r="J154" s="11">
        <v>3.12326530612245</v>
      </c>
      <c r="K154" s="2" t="s">
        <v>17</v>
      </c>
      <c r="L154" s="2" t="str">
        <f>_xlfn.XLOOKUP(D154,Products!A:A,Products!B:B)</f>
        <v>Office Chair</v>
      </c>
      <c r="M154" s="2" t="str">
        <f>_xlfn.XLOOKUP(D154,Products!A:A,Products!C:C)</f>
        <v>Furniture</v>
      </c>
      <c r="N154" s="2" t="str">
        <f>_xlfn.XLOOKUP(D154,Products!A:A,Products!D:D)</f>
        <v>Featherlite</v>
      </c>
      <c r="O154" s="2">
        <f>_xlfn.XLOOKUP(D154,Products!A:A,Products!E:E)</f>
        <v>4500</v>
      </c>
      <c r="P154" s="2">
        <f>_xlfn.XLOOKUP(D154,Products!A:A,Products!F:F)</f>
        <v>7500</v>
      </c>
      <c r="Q154" s="11">
        <f t="shared" si="10"/>
        <v>22897.959183673425</v>
      </c>
      <c r="R154" s="11">
        <f t="shared" si="11"/>
        <v>2153.7166180757963</v>
      </c>
      <c r="S154" s="11">
        <f t="shared" si="12"/>
        <v>20744.242565597629</v>
      </c>
      <c r="T154" s="11">
        <f t="shared" si="13"/>
        <v>13738.775510204054</v>
      </c>
      <c r="U154" s="11">
        <f t="shared" si="14"/>
        <v>7005.4670553935757</v>
      </c>
    </row>
    <row r="155" spans="1:21" x14ac:dyDescent="0.3">
      <c r="A155" s="2" t="s">
        <v>207</v>
      </c>
      <c r="B155" s="6">
        <v>46125</v>
      </c>
      <c r="C155" s="2" t="s">
        <v>60</v>
      </c>
      <c r="D155" s="2" t="s">
        <v>47</v>
      </c>
      <c r="E155" s="2" t="s">
        <v>14</v>
      </c>
      <c r="F155" s="2" t="s">
        <v>52</v>
      </c>
      <c r="G155" s="2" t="s">
        <v>16</v>
      </c>
      <c r="H155" s="11">
        <v>3.0566146458583399</v>
      </c>
      <c r="I155" s="7">
        <v>9.4205042016806698E-2</v>
      </c>
      <c r="J155" s="11">
        <v>3.1112124849940002</v>
      </c>
      <c r="K155" s="2" t="s">
        <v>17</v>
      </c>
      <c r="L155" s="2" t="str">
        <f>_xlfn.XLOOKUP(D155,Products!A:A,Products!B:B)</f>
        <v>Mixer Grinder</v>
      </c>
      <c r="M155" s="2" t="str">
        <f>_xlfn.XLOOKUP(D155,Products!A:A,Products!C:C)</f>
        <v>Home Appliances</v>
      </c>
      <c r="N155" s="2" t="str">
        <f>_xlfn.XLOOKUP(D155,Products!A:A,Products!D:D)</f>
        <v>Philips</v>
      </c>
      <c r="O155" s="2">
        <f>_xlfn.XLOOKUP(D155,Products!A:A,Products!E:E)</f>
        <v>2800</v>
      </c>
      <c r="P155" s="2">
        <f>_xlfn.XLOOKUP(D155,Products!A:A,Products!F:F)</f>
        <v>4800</v>
      </c>
      <c r="Q155" s="11">
        <f t="shared" si="10"/>
        <v>14671.750300120031</v>
      </c>
      <c r="R155" s="11">
        <f t="shared" si="11"/>
        <v>1382.1528534829038</v>
      </c>
      <c r="S155" s="11">
        <f t="shared" si="12"/>
        <v>13289.597446637128</v>
      </c>
      <c r="T155" s="11">
        <f t="shared" si="13"/>
        <v>8558.5210084033515</v>
      </c>
      <c r="U155" s="11">
        <f t="shared" si="14"/>
        <v>4731.0764382337766</v>
      </c>
    </row>
    <row r="156" spans="1:21" x14ac:dyDescent="0.3">
      <c r="A156" s="2" t="s">
        <v>208</v>
      </c>
      <c r="B156" s="6">
        <v>46126</v>
      </c>
      <c r="C156" s="2" t="s">
        <v>62</v>
      </c>
      <c r="D156" s="2" t="s">
        <v>43</v>
      </c>
      <c r="E156" s="2" t="s">
        <v>27</v>
      </c>
      <c r="F156" s="2" t="s">
        <v>22</v>
      </c>
      <c r="G156" s="2" t="s">
        <v>23</v>
      </c>
      <c r="H156" s="11">
        <v>3.0601680672268898</v>
      </c>
      <c r="I156" s="7">
        <v>9.4352941176470598E-2</v>
      </c>
      <c r="J156" s="11">
        <v>3.0991596638655499</v>
      </c>
      <c r="K156" s="2" t="s">
        <v>17</v>
      </c>
      <c r="L156" s="2" t="str">
        <f>_xlfn.XLOOKUP(D156,Products!A:A,Products!B:B)</f>
        <v>Smartphone</v>
      </c>
      <c r="M156" s="2" t="str">
        <f>_xlfn.XLOOKUP(D156,Products!A:A,Products!C:C)</f>
        <v>Electronics</v>
      </c>
      <c r="N156" s="2" t="str">
        <f>_xlfn.XLOOKUP(D156,Products!A:A,Products!D:D)</f>
        <v>Samsung</v>
      </c>
      <c r="O156" s="2">
        <f>_xlfn.XLOOKUP(D156,Products!A:A,Products!E:E)</f>
        <v>14000</v>
      </c>
      <c r="P156" s="2">
        <f>_xlfn.XLOOKUP(D156,Products!A:A,Products!F:F)</f>
        <v>22000</v>
      </c>
      <c r="Q156" s="11">
        <f t="shared" si="10"/>
        <v>67323.697478991569</v>
      </c>
      <c r="R156" s="11">
        <f t="shared" si="11"/>
        <v>6352.1888680177935</v>
      </c>
      <c r="S156" s="11">
        <f t="shared" si="12"/>
        <v>60971.508610973775</v>
      </c>
      <c r="T156" s="11">
        <f t="shared" si="13"/>
        <v>42842.352941176461</v>
      </c>
      <c r="U156" s="11">
        <f t="shared" si="14"/>
        <v>18129.155669797314</v>
      </c>
    </row>
    <row r="157" spans="1:21" x14ac:dyDescent="0.3">
      <c r="A157" s="2" t="s">
        <v>209</v>
      </c>
      <c r="B157" s="6">
        <v>46126</v>
      </c>
      <c r="C157" s="2" t="s">
        <v>64</v>
      </c>
      <c r="D157" s="2" t="s">
        <v>51</v>
      </c>
      <c r="E157" s="2" t="s">
        <v>21</v>
      </c>
      <c r="F157" s="2" t="s">
        <v>15</v>
      </c>
      <c r="G157" s="2" t="s">
        <v>29</v>
      </c>
      <c r="H157" s="11">
        <v>3.0637214885954398</v>
      </c>
      <c r="I157" s="7">
        <v>9.4500840336134401E-2</v>
      </c>
      <c r="J157" s="11">
        <v>3.0871068427371</v>
      </c>
      <c r="K157" s="2" t="s">
        <v>48</v>
      </c>
      <c r="L157" s="2" t="str">
        <f>_xlfn.XLOOKUP(D157,Products!A:A,Products!B:B)</f>
        <v>Shirt</v>
      </c>
      <c r="M157" s="2" t="str">
        <f>_xlfn.XLOOKUP(D157,Products!A:A,Products!C:C)</f>
        <v>Clothing</v>
      </c>
      <c r="N157" s="2" t="str">
        <f>_xlfn.XLOOKUP(D157,Products!A:A,Products!D:D)</f>
        <v>Levis</v>
      </c>
      <c r="O157" s="2">
        <f>_xlfn.XLOOKUP(D157,Products!A:A,Products!E:E)</f>
        <v>700</v>
      </c>
      <c r="P157" s="2">
        <f>_xlfn.XLOOKUP(D157,Products!A:A,Products!F:F)</f>
        <v>1500</v>
      </c>
      <c r="Q157" s="11">
        <f t="shared" si="10"/>
        <v>4595.5822328931599</v>
      </c>
      <c r="R157" s="11">
        <f t="shared" si="11"/>
        <v>434.2863828422125</v>
      </c>
      <c r="S157" s="11">
        <f t="shared" si="12"/>
        <v>4161.2958500509476</v>
      </c>
      <c r="T157" s="11">
        <f t="shared" si="13"/>
        <v>2144.6050420168081</v>
      </c>
      <c r="U157" s="11">
        <f t="shared" si="14"/>
        <v>2016.6908080341395</v>
      </c>
    </row>
    <row r="158" spans="1:21" x14ac:dyDescent="0.3">
      <c r="A158" s="2" t="s">
        <v>210</v>
      </c>
      <c r="B158" s="6">
        <v>46127</v>
      </c>
      <c r="C158" s="2" t="s">
        <v>66</v>
      </c>
      <c r="D158" s="2" t="s">
        <v>55</v>
      </c>
      <c r="E158" s="2" t="s">
        <v>38</v>
      </c>
      <c r="F158" s="2" t="s">
        <v>39</v>
      </c>
      <c r="G158" s="2" t="s">
        <v>16</v>
      </c>
      <c r="H158" s="11">
        <v>3.06727490996398</v>
      </c>
      <c r="I158" s="7">
        <v>9.4648739495798301E-2</v>
      </c>
      <c r="J158" s="11">
        <v>3.0750540216086399</v>
      </c>
      <c r="K158" s="2" t="s">
        <v>17</v>
      </c>
      <c r="L158" s="2" t="str">
        <f>_xlfn.XLOOKUP(D158,Products!A:A,Products!B:B)</f>
        <v>Sports Shoes</v>
      </c>
      <c r="M158" s="2" t="str">
        <f>_xlfn.XLOOKUP(D158,Products!A:A,Products!C:C)</f>
        <v>Sports</v>
      </c>
      <c r="N158" s="2" t="str">
        <f>_xlfn.XLOOKUP(D158,Products!A:A,Products!D:D)</f>
        <v>Nike</v>
      </c>
      <c r="O158" s="2">
        <f>_xlfn.XLOOKUP(D158,Products!A:A,Products!E:E)</f>
        <v>2200</v>
      </c>
      <c r="P158" s="2">
        <f>_xlfn.XLOOKUP(D158,Products!A:A,Products!F:F)</f>
        <v>4500</v>
      </c>
      <c r="Q158" s="11">
        <f t="shared" si="10"/>
        <v>13802.73709483791</v>
      </c>
      <c r="R158" s="11">
        <f t="shared" si="11"/>
        <v>1306.4116676183053</v>
      </c>
      <c r="S158" s="11">
        <f t="shared" si="12"/>
        <v>12496.325427219605</v>
      </c>
      <c r="T158" s="11">
        <f t="shared" si="13"/>
        <v>6748.0048019207561</v>
      </c>
      <c r="U158" s="11">
        <f t="shared" si="14"/>
        <v>5748.3206252988484</v>
      </c>
    </row>
    <row r="159" spans="1:21" x14ac:dyDescent="0.3">
      <c r="A159" s="2" t="s">
        <v>211</v>
      </c>
      <c r="B159" s="6">
        <v>46127</v>
      </c>
      <c r="C159" s="2" t="s">
        <v>68</v>
      </c>
      <c r="D159" s="2" t="s">
        <v>58</v>
      </c>
      <c r="E159" s="2" t="s">
        <v>44</v>
      </c>
      <c r="F159" s="2" t="s">
        <v>41</v>
      </c>
      <c r="G159" s="2" t="s">
        <v>23</v>
      </c>
      <c r="H159" s="11">
        <v>3.07082833133253</v>
      </c>
      <c r="I159" s="7">
        <v>9.4796638655462201E-2</v>
      </c>
      <c r="J159" s="11">
        <v>3.0630012004801901</v>
      </c>
      <c r="K159" s="2" t="s">
        <v>17</v>
      </c>
      <c r="L159" s="2" t="str">
        <f>_xlfn.XLOOKUP(D159,Products!A:A,Products!B:B)</f>
        <v>Study Table</v>
      </c>
      <c r="M159" s="2" t="str">
        <f>_xlfn.XLOOKUP(D159,Products!A:A,Products!C:C)</f>
        <v>Furniture</v>
      </c>
      <c r="N159" s="2" t="str">
        <f>_xlfn.XLOOKUP(D159,Products!A:A,Products!D:D)</f>
        <v>Ikea</v>
      </c>
      <c r="O159" s="2">
        <f>_xlfn.XLOOKUP(D159,Products!A:A,Products!E:E)</f>
        <v>5000</v>
      </c>
      <c r="P159" s="2">
        <f>_xlfn.XLOOKUP(D159,Products!A:A,Products!F:F)</f>
        <v>8500</v>
      </c>
      <c r="Q159" s="11">
        <f t="shared" si="10"/>
        <v>26102.040816326506</v>
      </c>
      <c r="R159" s="11">
        <f t="shared" si="11"/>
        <v>2474.3857314354295</v>
      </c>
      <c r="S159" s="11">
        <f t="shared" si="12"/>
        <v>23627.655084891077</v>
      </c>
      <c r="T159" s="11">
        <f t="shared" si="13"/>
        <v>15354.14165666265</v>
      </c>
      <c r="U159" s="11">
        <f t="shared" si="14"/>
        <v>8273.5134282284271</v>
      </c>
    </row>
    <row r="160" spans="1:21" x14ac:dyDescent="0.3">
      <c r="A160" s="2" t="s">
        <v>212</v>
      </c>
      <c r="B160" s="6">
        <v>46128</v>
      </c>
      <c r="C160" s="2" t="s">
        <v>12</v>
      </c>
      <c r="D160" s="2" t="s">
        <v>13</v>
      </c>
      <c r="E160" s="2" t="s">
        <v>14</v>
      </c>
      <c r="F160" s="2" t="s">
        <v>15</v>
      </c>
      <c r="G160" s="2" t="s">
        <v>16</v>
      </c>
      <c r="H160" s="11">
        <v>3.0743817527010799</v>
      </c>
      <c r="I160" s="7">
        <v>9.4944537815126004E-2</v>
      </c>
      <c r="J160" s="11">
        <v>3.0509483793517398</v>
      </c>
      <c r="K160" s="2" t="s">
        <v>17</v>
      </c>
      <c r="L160" s="2" t="str">
        <f>_xlfn.XLOOKUP(D160,Products!A:A,Products!B:B)</f>
        <v>Laptop</v>
      </c>
      <c r="M160" s="2" t="str">
        <f>_xlfn.XLOOKUP(D160,Products!A:A,Products!C:C)</f>
        <v>Electronics</v>
      </c>
      <c r="N160" s="2" t="str">
        <f>_xlfn.XLOOKUP(D160,Products!A:A,Products!D:D)</f>
        <v>HP</v>
      </c>
      <c r="O160" s="2">
        <f>_xlfn.XLOOKUP(D160,Products!A:A,Products!E:E)</f>
        <v>42000</v>
      </c>
      <c r="P160" s="2">
        <f>_xlfn.XLOOKUP(D160,Products!A:A,Products!F:F)</f>
        <v>55000</v>
      </c>
      <c r="Q160" s="11">
        <f t="shared" si="10"/>
        <v>169090.99639855939</v>
      </c>
      <c r="R160" s="11">
        <f t="shared" si="11"/>
        <v>16054.266501760358</v>
      </c>
      <c r="S160" s="11">
        <f t="shared" si="12"/>
        <v>153036.72989679902</v>
      </c>
      <c r="T160" s="11">
        <f t="shared" si="13"/>
        <v>129124.03361344535</v>
      </c>
      <c r="U160" s="11">
        <f t="shared" si="14"/>
        <v>23912.696283353667</v>
      </c>
    </row>
    <row r="161" spans="1:21" x14ac:dyDescent="0.3">
      <c r="A161" s="2" t="s">
        <v>213</v>
      </c>
      <c r="B161" s="6">
        <v>46128</v>
      </c>
      <c r="C161" s="2" t="s">
        <v>19</v>
      </c>
      <c r="D161" s="2" t="s">
        <v>37</v>
      </c>
      <c r="E161" s="2" t="s">
        <v>27</v>
      </c>
      <c r="F161" s="2" t="s">
        <v>22</v>
      </c>
      <c r="G161" s="2" t="s">
        <v>29</v>
      </c>
      <c r="H161" s="11">
        <v>3.0779351740696299</v>
      </c>
      <c r="I161" s="7">
        <v>9.5092436974789904E-2</v>
      </c>
      <c r="J161" s="11">
        <v>3.0388955582232899</v>
      </c>
      <c r="K161" s="2" t="s">
        <v>30</v>
      </c>
      <c r="L161" s="2" t="str">
        <f>_xlfn.XLOOKUP(D161,Products!A:A,Products!B:B)</f>
        <v>Headphones</v>
      </c>
      <c r="M161" s="2" t="str">
        <f>_xlfn.XLOOKUP(D161,Products!A:A,Products!C:C)</f>
        <v>Electronics</v>
      </c>
      <c r="N161" s="2" t="str">
        <f>_xlfn.XLOOKUP(D161,Products!A:A,Products!D:D)</f>
        <v>Sony</v>
      </c>
      <c r="O161" s="2">
        <f>_xlfn.XLOOKUP(D161,Products!A:A,Products!E:E)</f>
        <v>1800</v>
      </c>
      <c r="P161" s="2">
        <f>_xlfn.XLOOKUP(D161,Products!A:A,Products!F:F)</f>
        <v>3200</v>
      </c>
      <c r="Q161" s="11">
        <f t="shared" si="10"/>
        <v>9849.3925570228166</v>
      </c>
      <c r="R161" s="11">
        <f t="shared" si="11"/>
        <v>936.60274096865692</v>
      </c>
      <c r="S161" s="11">
        <f t="shared" si="12"/>
        <v>8912.789816054159</v>
      </c>
      <c r="T161" s="11">
        <f t="shared" si="13"/>
        <v>5540.2833133253334</v>
      </c>
      <c r="U161" s="11">
        <f t="shared" si="14"/>
        <v>3372.5065027288256</v>
      </c>
    </row>
    <row r="162" spans="1:21" x14ac:dyDescent="0.3">
      <c r="A162" s="2" t="s">
        <v>214</v>
      </c>
      <c r="B162" s="6">
        <v>46129</v>
      </c>
      <c r="C162" s="2" t="s">
        <v>25</v>
      </c>
      <c r="D162" s="2" t="s">
        <v>20</v>
      </c>
      <c r="E162" s="2" t="s">
        <v>21</v>
      </c>
      <c r="F162" s="2" t="s">
        <v>39</v>
      </c>
      <c r="G162" s="2" t="s">
        <v>23</v>
      </c>
      <c r="H162" s="11">
        <v>3.0814885954381701</v>
      </c>
      <c r="I162" s="7">
        <v>9.5240336134453804E-2</v>
      </c>
      <c r="J162" s="11">
        <v>3.0268427370948401</v>
      </c>
      <c r="K162" s="2" t="s">
        <v>17</v>
      </c>
      <c r="L162" s="2" t="str">
        <f>_xlfn.XLOOKUP(D162,Products!A:A,Products!B:B)</f>
        <v>Jeans</v>
      </c>
      <c r="M162" s="2" t="str">
        <f>_xlfn.XLOOKUP(D162,Products!A:A,Products!C:C)</f>
        <v>Clothing</v>
      </c>
      <c r="N162" s="2" t="str">
        <f>_xlfn.XLOOKUP(D162,Products!A:A,Products!D:D)</f>
        <v>Wrangler</v>
      </c>
      <c r="O162" s="2">
        <f>_xlfn.XLOOKUP(D162,Products!A:A,Products!E:E)</f>
        <v>1100</v>
      </c>
      <c r="P162" s="2">
        <f>_xlfn.XLOOKUP(D162,Products!A:A,Products!F:F)</f>
        <v>2200</v>
      </c>
      <c r="Q162" s="11">
        <f t="shared" si="10"/>
        <v>6779.2749099639741</v>
      </c>
      <c r="R162" s="11">
        <f t="shared" si="11"/>
        <v>645.66042117283791</v>
      </c>
      <c r="S162" s="11">
        <f t="shared" si="12"/>
        <v>6133.614488791136</v>
      </c>
      <c r="T162" s="11">
        <f t="shared" si="13"/>
        <v>3389.637454981987</v>
      </c>
      <c r="U162" s="11">
        <f t="shared" si="14"/>
        <v>2743.9770338091489</v>
      </c>
    </row>
    <row r="163" spans="1:21" x14ac:dyDescent="0.3">
      <c r="A163" s="2" t="s">
        <v>215</v>
      </c>
      <c r="B163" s="6">
        <v>46129</v>
      </c>
      <c r="C163" s="2" t="s">
        <v>32</v>
      </c>
      <c r="D163" s="2" t="s">
        <v>40</v>
      </c>
      <c r="E163" s="2" t="s">
        <v>38</v>
      </c>
      <c r="F163" s="2" t="s">
        <v>15</v>
      </c>
      <c r="G163" s="2" t="s">
        <v>16</v>
      </c>
      <c r="H163" s="11">
        <v>3.0850420168067201</v>
      </c>
      <c r="I163" s="7">
        <v>9.5388235294117593E-2</v>
      </c>
      <c r="J163" s="11">
        <v>3.0147899159663898</v>
      </c>
      <c r="K163" s="2" t="s">
        <v>17</v>
      </c>
      <c r="L163" s="2" t="str">
        <f>_xlfn.XLOOKUP(D163,Products!A:A,Products!B:B)</f>
        <v>Office Chair</v>
      </c>
      <c r="M163" s="2" t="str">
        <f>_xlfn.XLOOKUP(D163,Products!A:A,Products!C:C)</f>
        <v>Furniture</v>
      </c>
      <c r="N163" s="2" t="str">
        <f>_xlfn.XLOOKUP(D163,Products!A:A,Products!D:D)</f>
        <v>Featherlite</v>
      </c>
      <c r="O163" s="2">
        <f>_xlfn.XLOOKUP(D163,Products!A:A,Products!E:E)</f>
        <v>4500</v>
      </c>
      <c r="P163" s="2">
        <f>_xlfn.XLOOKUP(D163,Products!A:A,Products!F:F)</f>
        <v>7500</v>
      </c>
      <c r="Q163" s="11">
        <f t="shared" si="10"/>
        <v>23137.815126050402</v>
      </c>
      <c r="R163" s="11">
        <f t="shared" si="11"/>
        <v>2207.075353435489</v>
      </c>
      <c r="S163" s="11">
        <f t="shared" si="12"/>
        <v>20930.739772614914</v>
      </c>
      <c r="T163" s="11">
        <f t="shared" si="13"/>
        <v>13882.68907563024</v>
      </c>
      <c r="U163" s="11">
        <f t="shared" si="14"/>
        <v>7048.0506969846738</v>
      </c>
    </row>
    <row r="164" spans="1:21" x14ac:dyDescent="0.3">
      <c r="A164" s="2" t="s">
        <v>216</v>
      </c>
      <c r="B164" s="6">
        <v>46130</v>
      </c>
      <c r="C164" s="2" t="s">
        <v>34</v>
      </c>
      <c r="D164" s="2" t="s">
        <v>26</v>
      </c>
      <c r="E164" s="2" t="s">
        <v>44</v>
      </c>
      <c r="F164" s="2" t="s">
        <v>22</v>
      </c>
      <c r="G164" s="2" t="s">
        <v>42</v>
      </c>
      <c r="H164" s="11">
        <v>3.08859543817527</v>
      </c>
      <c r="I164" s="7">
        <v>9.5536134453781493E-2</v>
      </c>
      <c r="J164" s="11">
        <v>3.0027370948379399</v>
      </c>
      <c r="K164" s="2" t="s">
        <v>17</v>
      </c>
      <c r="L164" s="2" t="str">
        <f>_xlfn.XLOOKUP(D164,Products!A:A,Products!B:B)</f>
        <v>Face Wash</v>
      </c>
      <c r="M164" s="2" t="str">
        <f>_xlfn.XLOOKUP(D164,Products!A:A,Products!C:C)</f>
        <v>Beauty</v>
      </c>
      <c r="N164" s="2" t="str">
        <f>_xlfn.XLOOKUP(D164,Products!A:A,Products!D:D)</f>
        <v>Nivea</v>
      </c>
      <c r="O164" s="2">
        <f>_xlfn.XLOOKUP(D164,Products!A:A,Products!E:E)</f>
        <v>180</v>
      </c>
      <c r="P164" s="2">
        <f>_xlfn.XLOOKUP(D164,Products!A:A,Products!F:F)</f>
        <v>350</v>
      </c>
      <c r="Q164" s="11">
        <f t="shared" si="10"/>
        <v>1081.0084033613446</v>
      </c>
      <c r="R164" s="11">
        <f t="shared" si="11"/>
        <v>103.27536416919708</v>
      </c>
      <c r="S164" s="11">
        <f t="shared" si="12"/>
        <v>977.73303919214754</v>
      </c>
      <c r="T164" s="11">
        <f t="shared" si="13"/>
        <v>555.94717887154866</v>
      </c>
      <c r="U164" s="11">
        <f t="shared" si="14"/>
        <v>421.78586032059889</v>
      </c>
    </row>
    <row r="165" spans="1:21" x14ac:dyDescent="0.3">
      <c r="A165" s="2" t="s">
        <v>217</v>
      </c>
      <c r="B165" s="6">
        <v>46130</v>
      </c>
      <c r="C165" s="2" t="s">
        <v>36</v>
      </c>
      <c r="D165" s="2" t="s">
        <v>47</v>
      </c>
      <c r="E165" s="2" t="s">
        <v>14</v>
      </c>
      <c r="F165" s="2" t="s">
        <v>41</v>
      </c>
      <c r="G165" s="2" t="s">
        <v>23</v>
      </c>
      <c r="H165" s="11">
        <v>3.09214885954382</v>
      </c>
      <c r="I165" s="7">
        <v>9.5684033613445393E-2</v>
      </c>
      <c r="J165" s="11">
        <v>2.9906842737094799</v>
      </c>
      <c r="K165" s="2" t="s">
        <v>17</v>
      </c>
      <c r="L165" s="2" t="str">
        <f>_xlfn.XLOOKUP(D165,Products!A:A,Products!B:B)</f>
        <v>Mixer Grinder</v>
      </c>
      <c r="M165" s="2" t="str">
        <f>_xlfn.XLOOKUP(D165,Products!A:A,Products!C:C)</f>
        <v>Home Appliances</v>
      </c>
      <c r="N165" s="2" t="str">
        <f>_xlfn.XLOOKUP(D165,Products!A:A,Products!D:D)</f>
        <v>Philips</v>
      </c>
      <c r="O165" s="2">
        <f>_xlfn.XLOOKUP(D165,Products!A:A,Products!E:E)</f>
        <v>2800</v>
      </c>
      <c r="P165" s="2">
        <f>_xlfn.XLOOKUP(D165,Products!A:A,Products!F:F)</f>
        <v>4800</v>
      </c>
      <c r="Q165" s="11">
        <f t="shared" si="10"/>
        <v>14842.314525810336</v>
      </c>
      <c r="R165" s="11">
        <f t="shared" si="11"/>
        <v>1420.1725219889649</v>
      </c>
      <c r="S165" s="11">
        <f t="shared" si="12"/>
        <v>13422.142003821371</v>
      </c>
      <c r="T165" s="11">
        <f t="shared" si="13"/>
        <v>8658.0168067226969</v>
      </c>
      <c r="U165" s="11">
        <f t="shared" si="14"/>
        <v>4764.1251970986741</v>
      </c>
    </row>
    <row r="166" spans="1:21" x14ac:dyDescent="0.3">
      <c r="A166" s="2" t="s">
        <v>218</v>
      </c>
      <c r="B166" s="6">
        <v>46131</v>
      </c>
      <c r="C166" s="2" t="s">
        <v>46</v>
      </c>
      <c r="D166" s="2" t="s">
        <v>43</v>
      </c>
      <c r="E166" s="2" t="s">
        <v>27</v>
      </c>
      <c r="F166" s="2" t="s">
        <v>15</v>
      </c>
      <c r="G166" s="2" t="s">
        <v>16</v>
      </c>
      <c r="H166" s="11">
        <v>3.0957022809123602</v>
      </c>
      <c r="I166" s="7">
        <v>9.5831932773109196E-2</v>
      </c>
      <c r="J166" s="11">
        <v>2.97863145258103</v>
      </c>
      <c r="K166" s="2" t="s">
        <v>17</v>
      </c>
      <c r="L166" s="2" t="str">
        <f>_xlfn.XLOOKUP(D166,Products!A:A,Products!B:B)</f>
        <v>Smartphone</v>
      </c>
      <c r="M166" s="2" t="str">
        <f>_xlfn.XLOOKUP(D166,Products!A:A,Products!C:C)</f>
        <v>Electronics</v>
      </c>
      <c r="N166" s="2" t="str">
        <f>_xlfn.XLOOKUP(D166,Products!A:A,Products!D:D)</f>
        <v>Samsung</v>
      </c>
      <c r="O166" s="2">
        <f>_xlfn.XLOOKUP(D166,Products!A:A,Products!E:E)</f>
        <v>14000</v>
      </c>
      <c r="P166" s="2">
        <f>_xlfn.XLOOKUP(D166,Products!A:A,Products!F:F)</f>
        <v>22000</v>
      </c>
      <c r="Q166" s="11">
        <f t="shared" si="10"/>
        <v>68105.45018007193</v>
      </c>
      <c r="R166" s="11">
        <f t="shared" si="11"/>
        <v>6526.6769231389908</v>
      </c>
      <c r="S166" s="11">
        <f t="shared" si="12"/>
        <v>61578.773256932938</v>
      </c>
      <c r="T166" s="11">
        <f t="shared" si="13"/>
        <v>43339.831932773042</v>
      </c>
      <c r="U166" s="11">
        <f t="shared" si="14"/>
        <v>18238.941324159896</v>
      </c>
    </row>
    <row r="167" spans="1:21" x14ac:dyDescent="0.3">
      <c r="A167" s="2" t="s">
        <v>219</v>
      </c>
      <c r="B167" s="6">
        <v>46131</v>
      </c>
      <c r="C167" s="2" t="s">
        <v>50</v>
      </c>
      <c r="D167" s="2" t="s">
        <v>51</v>
      </c>
      <c r="E167" s="2" t="s">
        <v>21</v>
      </c>
      <c r="F167" s="2" t="s">
        <v>52</v>
      </c>
      <c r="G167" s="2" t="s">
        <v>29</v>
      </c>
      <c r="H167" s="11">
        <v>3.0992557022809102</v>
      </c>
      <c r="I167" s="7">
        <v>9.5979831932773096E-2</v>
      </c>
      <c r="J167" s="11">
        <v>2.9665786314525802</v>
      </c>
      <c r="K167" s="2" t="s">
        <v>30</v>
      </c>
      <c r="L167" s="2" t="str">
        <f>_xlfn.XLOOKUP(D167,Products!A:A,Products!B:B)</f>
        <v>Shirt</v>
      </c>
      <c r="M167" s="2" t="str">
        <f>_xlfn.XLOOKUP(D167,Products!A:A,Products!C:C)</f>
        <v>Clothing</v>
      </c>
      <c r="N167" s="2" t="str">
        <f>_xlfn.XLOOKUP(D167,Products!A:A,Products!D:D)</f>
        <v>Levis</v>
      </c>
      <c r="O167" s="2">
        <f>_xlfn.XLOOKUP(D167,Products!A:A,Products!E:E)</f>
        <v>700</v>
      </c>
      <c r="P167" s="2">
        <f>_xlfn.XLOOKUP(D167,Products!A:A,Products!F:F)</f>
        <v>1500</v>
      </c>
      <c r="Q167" s="11">
        <f t="shared" si="10"/>
        <v>4648.8835534213649</v>
      </c>
      <c r="R167" s="11">
        <f t="shared" si="11"/>
        <v>446.19906213241558</v>
      </c>
      <c r="S167" s="11">
        <f t="shared" si="12"/>
        <v>4202.6844912889492</v>
      </c>
      <c r="T167" s="11">
        <f t="shared" si="13"/>
        <v>2169.4789915966371</v>
      </c>
      <c r="U167" s="11">
        <f t="shared" si="14"/>
        <v>2033.2054996923121</v>
      </c>
    </row>
    <row r="168" spans="1:21" x14ac:dyDescent="0.3">
      <c r="A168" s="2" t="s">
        <v>220</v>
      </c>
      <c r="B168" s="6">
        <v>46132</v>
      </c>
      <c r="C168" s="2" t="s">
        <v>54</v>
      </c>
      <c r="D168" s="2" t="s">
        <v>55</v>
      </c>
      <c r="E168" s="2" t="s">
        <v>38</v>
      </c>
      <c r="F168" s="2" t="s">
        <v>22</v>
      </c>
      <c r="G168" s="2" t="s">
        <v>16</v>
      </c>
      <c r="H168" s="11">
        <v>3.1028091236494602</v>
      </c>
      <c r="I168" s="7">
        <v>9.6127731092436997E-2</v>
      </c>
      <c r="J168" s="11">
        <v>2.9545258103241299</v>
      </c>
      <c r="K168" s="2" t="s">
        <v>17</v>
      </c>
      <c r="L168" s="2" t="str">
        <f>_xlfn.XLOOKUP(D168,Products!A:A,Products!B:B)</f>
        <v>Sports Shoes</v>
      </c>
      <c r="M168" s="2" t="str">
        <f>_xlfn.XLOOKUP(D168,Products!A:A,Products!C:C)</f>
        <v>Sports</v>
      </c>
      <c r="N168" s="2" t="str">
        <f>_xlfn.XLOOKUP(D168,Products!A:A,Products!D:D)</f>
        <v>Nike</v>
      </c>
      <c r="O168" s="2">
        <f>_xlfn.XLOOKUP(D168,Products!A:A,Products!E:E)</f>
        <v>2200</v>
      </c>
      <c r="P168" s="2">
        <f>_xlfn.XLOOKUP(D168,Products!A:A,Products!F:F)</f>
        <v>4500</v>
      </c>
      <c r="Q168" s="11">
        <f t="shared" si="10"/>
        <v>13962.64105642257</v>
      </c>
      <c r="R168" s="11">
        <f t="shared" si="11"/>
        <v>1342.1970048120093</v>
      </c>
      <c r="S168" s="11">
        <f t="shared" si="12"/>
        <v>12620.444051610561</v>
      </c>
      <c r="T168" s="11">
        <f t="shared" si="13"/>
        <v>6826.180072028812</v>
      </c>
      <c r="U168" s="11">
        <f t="shared" si="14"/>
        <v>5794.2639795817486</v>
      </c>
    </row>
    <row r="169" spans="1:21" x14ac:dyDescent="0.3">
      <c r="A169" s="2" t="s">
        <v>221</v>
      </c>
      <c r="B169" s="6">
        <v>46132</v>
      </c>
      <c r="C169" s="2" t="s">
        <v>57</v>
      </c>
      <c r="D169" s="2" t="s">
        <v>58</v>
      </c>
      <c r="E169" s="2" t="s">
        <v>44</v>
      </c>
      <c r="F169" s="2" t="s">
        <v>15</v>
      </c>
      <c r="G169" s="2" t="s">
        <v>23</v>
      </c>
      <c r="H169" s="11">
        <v>3.1063625450179999</v>
      </c>
      <c r="I169" s="7">
        <v>9.6275630252100799E-2</v>
      </c>
      <c r="J169" s="11">
        <v>2.94247298919568</v>
      </c>
      <c r="K169" s="2" t="s">
        <v>17</v>
      </c>
      <c r="L169" s="2" t="str">
        <f>_xlfn.XLOOKUP(D169,Products!A:A,Products!B:B)</f>
        <v>Study Table</v>
      </c>
      <c r="M169" s="2" t="str">
        <f>_xlfn.XLOOKUP(D169,Products!A:A,Products!C:C)</f>
        <v>Furniture</v>
      </c>
      <c r="N169" s="2" t="str">
        <f>_xlfn.XLOOKUP(D169,Products!A:A,Products!D:D)</f>
        <v>Ikea</v>
      </c>
      <c r="O169" s="2">
        <f>_xlfn.XLOOKUP(D169,Products!A:A,Products!E:E)</f>
        <v>5000</v>
      </c>
      <c r="P169" s="2">
        <f>_xlfn.XLOOKUP(D169,Products!A:A,Products!F:F)</f>
        <v>8500</v>
      </c>
      <c r="Q169" s="11">
        <f t="shared" si="10"/>
        <v>26404.081632653</v>
      </c>
      <c r="R169" s="11">
        <f t="shared" si="11"/>
        <v>2542.0696004115862</v>
      </c>
      <c r="S169" s="11">
        <f t="shared" si="12"/>
        <v>23862.012032241415</v>
      </c>
      <c r="T169" s="11">
        <f t="shared" si="13"/>
        <v>15531.81272509</v>
      </c>
      <c r="U169" s="11">
        <f t="shared" si="14"/>
        <v>8330.1993071514153</v>
      </c>
    </row>
    <row r="170" spans="1:21" x14ac:dyDescent="0.3">
      <c r="A170" s="2" t="s">
        <v>222</v>
      </c>
      <c r="B170" s="6">
        <v>46133</v>
      </c>
      <c r="C170" s="2" t="s">
        <v>60</v>
      </c>
      <c r="D170" s="2" t="s">
        <v>13</v>
      </c>
      <c r="E170" s="2" t="s">
        <v>14</v>
      </c>
      <c r="F170" s="2" t="s">
        <v>39</v>
      </c>
      <c r="G170" s="2" t="s">
        <v>16</v>
      </c>
      <c r="H170" s="11">
        <v>3.1099159663865499</v>
      </c>
      <c r="I170" s="7">
        <v>9.64235294117647E-2</v>
      </c>
      <c r="J170" s="11">
        <v>2.9304201680672302</v>
      </c>
      <c r="K170" s="2" t="s">
        <v>17</v>
      </c>
      <c r="L170" s="2" t="str">
        <f>_xlfn.XLOOKUP(D170,Products!A:A,Products!B:B)</f>
        <v>Laptop</v>
      </c>
      <c r="M170" s="2" t="str">
        <f>_xlfn.XLOOKUP(D170,Products!A:A,Products!C:C)</f>
        <v>Electronics</v>
      </c>
      <c r="N170" s="2" t="str">
        <f>_xlfn.XLOOKUP(D170,Products!A:A,Products!D:D)</f>
        <v>HP</v>
      </c>
      <c r="O170" s="2">
        <f>_xlfn.XLOOKUP(D170,Products!A:A,Products!E:E)</f>
        <v>42000</v>
      </c>
      <c r="P170" s="2">
        <f>_xlfn.XLOOKUP(D170,Products!A:A,Products!F:F)</f>
        <v>55000</v>
      </c>
      <c r="Q170" s="11">
        <f t="shared" si="10"/>
        <v>171045.37815126023</v>
      </c>
      <c r="R170" s="11">
        <f t="shared" si="11"/>
        <v>16492.799050914455</v>
      </c>
      <c r="S170" s="11">
        <f t="shared" si="12"/>
        <v>154552.57910034579</v>
      </c>
      <c r="T170" s="11">
        <f t="shared" si="13"/>
        <v>130616.4705882351</v>
      </c>
      <c r="U170" s="11">
        <f t="shared" si="14"/>
        <v>23936.108512110688</v>
      </c>
    </row>
    <row r="171" spans="1:21" x14ac:dyDescent="0.3">
      <c r="A171" s="2" t="s">
        <v>223</v>
      </c>
      <c r="B171" s="6">
        <v>46133</v>
      </c>
      <c r="C171" s="2" t="s">
        <v>62</v>
      </c>
      <c r="D171" s="2" t="s">
        <v>20</v>
      </c>
      <c r="E171" s="2" t="s">
        <v>27</v>
      </c>
      <c r="F171" s="2" t="s">
        <v>15</v>
      </c>
      <c r="G171" s="2" t="s">
        <v>29</v>
      </c>
      <c r="H171" s="11">
        <v>3.1134693877550998</v>
      </c>
      <c r="I171" s="7">
        <v>9.65714285714286E-2</v>
      </c>
      <c r="J171" s="11">
        <v>2.9183673469387799</v>
      </c>
      <c r="K171" s="2" t="s">
        <v>17</v>
      </c>
      <c r="L171" s="2" t="str">
        <f>_xlfn.XLOOKUP(D171,Products!A:A,Products!B:B)</f>
        <v>Jeans</v>
      </c>
      <c r="M171" s="2" t="str">
        <f>_xlfn.XLOOKUP(D171,Products!A:A,Products!C:C)</f>
        <v>Clothing</v>
      </c>
      <c r="N171" s="2" t="str">
        <f>_xlfn.XLOOKUP(D171,Products!A:A,Products!D:D)</f>
        <v>Wrangler</v>
      </c>
      <c r="O171" s="2">
        <f>_xlfn.XLOOKUP(D171,Products!A:A,Products!E:E)</f>
        <v>1100</v>
      </c>
      <c r="P171" s="2">
        <f>_xlfn.XLOOKUP(D171,Products!A:A,Products!F:F)</f>
        <v>2200</v>
      </c>
      <c r="Q171" s="11">
        <f t="shared" si="10"/>
        <v>6849.6326530612196</v>
      </c>
      <c r="R171" s="11">
        <f t="shared" si="11"/>
        <v>661.47881049562659</v>
      </c>
      <c r="S171" s="11">
        <f t="shared" si="12"/>
        <v>6188.1538425655926</v>
      </c>
      <c r="T171" s="11">
        <f t="shared" si="13"/>
        <v>3424.8163265306098</v>
      </c>
      <c r="U171" s="11">
        <f t="shared" si="14"/>
        <v>2763.3375160349829</v>
      </c>
    </row>
    <row r="172" spans="1:21" x14ac:dyDescent="0.3">
      <c r="A172" s="2" t="s">
        <v>224</v>
      </c>
      <c r="B172" s="6">
        <v>46134</v>
      </c>
      <c r="C172" s="2" t="s">
        <v>64</v>
      </c>
      <c r="D172" s="2" t="s">
        <v>26</v>
      </c>
      <c r="E172" s="2" t="s">
        <v>21</v>
      </c>
      <c r="F172" s="2" t="s">
        <v>41</v>
      </c>
      <c r="G172" s="2" t="s">
        <v>23</v>
      </c>
      <c r="H172" s="11">
        <v>3.1170228091236498</v>
      </c>
      <c r="I172" s="7">
        <v>9.6719327731092403E-2</v>
      </c>
      <c r="J172" s="11">
        <v>2.9063145258103198</v>
      </c>
      <c r="K172" s="2" t="s">
        <v>17</v>
      </c>
      <c r="L172" s="2" t="str">
        <f>_xlfn.XLOOKUP(D172,Products!A:A,Products!B:B)</f>
        <v>Face Wash</v>
      </c>
      <c r="M172" s="2" t="str">
        <f>_xlfn.XLOOKUP(D172,Products!A:A,Products!C:C)</f>
        <v>Beauty</v>
      </c>
      <c r="N172" s="2" t="str">
        <f>_xlfn.XLOOKUP(D172,Products!A:A,Products!D:D)</f>
        <v>Nivea</v>
      </c>
      <c r="O172" s="2">
        <f>_xlfn.XLOOKUP(D172,Products!A:A,Products!E:E)</f>
        <v>180</v>
      </c>
      <c r="P172" s="2">
        <f>_xlfn.XLOOKUP(D172,Products!A:A,Products!F:F)</f>
        <v>350</v>
      </c>
      <c r="Q172" s="11">
        <f t="shared" si="10"/>
        <v>1090.9579831932774</v>
      </c>
      <c r="R172" s="11">
        <f t="shared" si="11"/>
        <v>105.5167227173222</v>
      </c>
      <c r="S172" s="11">
        <f t="shared" si="12"/>
        <v>985.44126047595523</v>
      </c>
      <c r="T172" s="11">
        <f t="shared" si="13"/>
        <v>561.064105642257</v>
      </c>
      <c r="U172" s="11">
        <f t="shared" si="14"/>
        <v>424.37715483369823</v>
      </c>
    </row>
    <row r="173" spans="1:21" x14ac:dyDescent="0.3">
      <c r="A173" s="2" t="s">
        <v>225</v>
      </c>
      <c r="B173" s="6">
        <v>46134</v>
      </c>
      <c r="C173" s="2" t="s">
        <v>66</v>
      </c>
      <c r="D173" s="2" t="s">
        <v>37</v>
      </c>
      <c r="E173" s="2" t="s">
        <v>38</v>
      </c>
      <c r="F173" s="2" t="s">
        <v>22</v>
      </c>
      <c r="G173" s="2" t="s">
        <v>16</v>
      </c>
      <c r="H173" s="11">
        <v>3.12057623049219</v>
      </c>
      <c r="I173" s="7">
        <v>9.6867226890756303E-2</v>
      </c>
      <c r="J173" s="11">
        <v>2.8942617046818699</v>
      </c>
      <c r="K173" s="2" t="s">
        <v>30</v>
      </c>
      <c r="L173" s="2" t="str">
        <f>_xlfn.XLOOKUP(D173,Products!A:A,Products!B:B)</f>
        <v>Headphones</v>
      </c>
      <c r="M173" s="2" t="str">
        <f>_xlfn.XLOOKUP(D173,Products!A:A,Products!C:C)</f>
        <v>Electronics</v>
      </c>
      <c r="N173" s="2" t="str">
        <f>_xlfn.XLOOKUP(D173,Products!A:A,Products!D:D)</f>
        <v>Sony</v>
      </c>
      <c r="O173" s="2">
        <f>_xlfn.XLOOKUP(D173,Products!A:A,Products!E:E)</f>
        <v>1800</v>
      </c>
      <c r="P173" s="2">
        <f>_xlfn.XLOOKUP(D173,Products!A:A,Products!F:F)</f>
        <v>3200</v>
      </c>
      <c r="Q173" s="11">
        <f t="shared" si="10"/>
        <v>9985.8439375750077</v>
      </c>
      <c r="R173" s="11">
        <f t="shared" si="11"/>
        <v>967.30101039676163</v>
      </c>
      <c r="S173" s="11">
        <f t="shared" si="12"/>
        <v>9018.5429271782468</v>
      </c>
      <c r="T173" s="11">
        <f t="shared" si="13"/>
        <v>5617.0372148859424</v>
      </c>
      <c r="U173" s="11">
        <f t="shared" si="14"/>
        <v>3401.5057122923045</v>
      </c>
    </row>
    <row r="174" spans="1:21" x14ac:dyDescent="0.3">
      <c r="A174" s="2" t="s">
        <v>226</v>
      </c>
      <c r="B174" s="6">
        <v>46135</v>
      </c>
      <c r="C174" s="2" t="s">
        <v>68</v>
      </c>
      <c r="D174" s="2" t="s">
        <v>40</v>
      </c>
      <c r="E174" s="2" t="s">
        <v>44</v>
      </c>
      <c r="F174" s="2" t="s">
        <v>15</v>
      </c>
      <c r="G174" s="2" t="s">
        <v>42</v>
      </c>
      <c r="H174" s="11">
        <v>3.12412965186074</v>
      </c>
      <c r="I174" s="7">
        <v>9.7015126050420203E-2</v>
      </c>
      <c r="J174" s="11">
        <v>2.8822088835534201</v>
      </c>
      <c r="K174" s="2" t="s">
        <v>17</v>
      </c>
      <c r="L174" s="2" t="str">
        <f>_xlfn.XLOOKUP(D174,Products!A:A,Products!B:B)</f>
        <v>Office Chair</v>
      </c>
      <c r="M174" s="2" t="str">
        <f>_xlfn.XLOOKUP(D174,Products!A:A,Products!C:C)</f>
        <v>Furniture</v>
      </c>
      <c r="N174" s="2" t="str">
        <f>_xlfn.XLOOKUP(D174,Products!A:A,Products!D:D)</f>
        <v>Featherlite</v>
      </c>
      <c r="O174" s="2">
        <f>_xlfn.XLOOKUP(D174,Products!A:A,Products!E:E)</f>
        <v>4500</v>
      </c>
      <c r="P174" s="2">
        <f>_xlfn.XLOOKUP(D174,Products!A:A,Products!F:F)</f>
        <v>7500</v>
      </c>
      <c r="Q174" s="11">
        <f t="shared" si="10"/>
        <v>23430.97238895555</v>
      </c>
      <c r="R174" s="11">
        <f t="shared" si="11"/>
        <v>2273.1587397984381</v>
      </c>
      <c r="S174" s="11">
        <f t="shared" si="12"/>
        <v>21157.813649157113</v>
      </c>
      <c r="T174" s="11">
        <f t="shared" si="13"/>
        <v>14058.583433373329</v>
      </c>
      <c r="U174" s="11">
        <f t="shared" si="14"/>
        <v>7099.2302157837839</v>
      </c>
    </row>
    <row r="175" spans="1:21" x14ac:dyDescent="0.3">
      <c r="A175" s="2" t="s">
        <v>227</v>
      </c>
      <c r="B175" s="6">
        <v>46135</v>
      </c>
      <c r="C175" s="2" t="s">
        <v>12</v>
      </c>
      <c r="D175" s="2" t="s">
        <v>47</v>
      </c>
      <c r="E175" s="2" t="s">
        <v>14</v>
      </c>
      <c r="F175" s="2" t="s">
        <v>52</v>
      </c>
      <c r="G175" s="2" t="s">
        <v>16</v>
      </c>
      <c r="H175" s="11">
        <v>3.12768307322929</v>
      </c>
      <c r="I175" s="7">
        <v>9.7163025210084006E-2</v>
      </c>
      <c r="J175" s="11">
        <v>2.8701560624249698</v>
      </c>
      <c r="K175" s="2" t="s">
        <v>17</v>
      </c>
      <c r="L175" s="2" t="str">
        <f>_xlfn.XLOOKUP(D175,Products!A:A,Products!B:B)</f>
        <v>Mixer Grinder</v>
      </c>
      <c r="M175" s="2" t="str">
        <f>_xlfn.XLOOKUP(D175,Products!A:A,Products!C:C)</f>
        <v>Home Appliances</v>
      </c>
      <c r="N175" s="2" t="str">
        <f>_xlfn.XLOOKUP(D175,Products!A:A,Products!D:D)</f>
        <v>Philips</v>
      </c>
      <c r="O175" s="2">
        <f>_xlfn.XLOOKUP(D175,Products!A:A,Products!E:E)</f>
        <v>2800</v>
      </c>
      <c r="P175" s="2">
        <f>_xlfn.XLOOKUP(D175,Products!A:A,Products!F:F)</f>
        <v>4800</v>
      </c>
      <c r="Q175" s="11">
        <f t="shared" si="10"/>
        <v>15012.878751500592</v>
      </c>
      <c r="R175" s="11">
        <f t="shared" si="11"/>
        <v>1458.6967166079864</v>
      </c>
      <c r="S175" s="11">
        <f t="shared" si="12"/>
        <v>13554.182034892605</v>
      </c>
      <c r="T175" s="11">
        <f t="shared" si="13"/>
        <v>8757.5126050420113</v>
      </c>
      <c r="U175" s="11">
        <f t="shared" si="14"/>
        <v>4796.6694298505936</v>
      </c>
    </row>
    <row r="176" spans="1:21" x14ac:dyDescent="0.3">
      <c r="A176" s="2" t="s">
        <v>228</v>
      </c>
      <c r="B176" s="6">
        <v>46136</v>
      </c>
      <c r="C176" s="2" t="s">
        <v>19</v>
      </c>
      <c r="D176" s="2" t="s">
        <v>43</v>
      </c>
      <c r="E176" s="2" t="s">
        <v>27</v>
      </c>
      <c r="F176" s="2" t="s">
        <v>22</v>
      </c>
      <c r="G176" s="2" t="s">
        <v>23</v>
      </c>
      <c r="H176" s="11">
        <v>3.1312364945978399</v>
      </c>
      <c r="I176" s="7">
        <v>9.7310924369747906E-2</v>
      </c>
      <c r="J176" s="11">
        <v>2.8581032412965199</v>
      </c>
      <c r="K176" s="2" t="s">
        <v>17</v>
      </c>
      <c r="L176" s="2" t="str">
        <f>_xlfn.XLOOKUP(D176,Products!A:A,Products!B:B)</f>
        <v>Smartphone</v>
      </c>
      <c r="M176" s="2" t="str">
        <f>_xlfn.XLOOKUP(D176,Products!A:A,Products!C:C)</f>
        <v>Electronics</v>
      </c>
      <c r="N176" s="2" t="str">
        <f>_xlfn.XLOOKUP(D176,Products!A:A,Products!D:D)</f>
        <v>Samsung</v>
      </c>
      <c r="O176" s="2">
        <f>_xlfn.XLOOKUP(D176,Products!A:A,Products!E:E)</f>
        <v>14000</v>
      </c>
      <c r="P176" s="2">
        <f>_xlfn.XLOOKUP(D176,Products!A:A,Products!F:F)</f>
        <v>22000</v>
      </c>
      <c r="Q176" s="11">
        <f t="shared" si="10"/>
        <v>68887.20288115248</v>
      </c>
      <c r="R176" s="11">
        <f t="shared" si="11"/>
        <v>6703.4773896113093</v>
      </c>
      <c r="S176" s="11">
        <f t="shared" si="12"/>
        <v>62183.725491541169</v>
      </c>
      <c r="T176" s="11">
        <f t="shared" si="13"/>
        <v>43837.310924369762</v>
      </c>
      <c r="U176" s="11">
        <f t="shared" si="14"/>
        <v>18346.414567171407</v>
      </c>
    </row>
    <row r="177" spans="1:21" x14ac:dyDescent="0.3">
      <c r="A177" s="2" t="s">
        <v>229</v>
      </c>
      <c r="B177" s="6">
        <v>46136</v>
      </c>
      <c r="C177" s="2" t="s">
        <v>25</v>
      </c>
      <c r="D177" s="2" t="s">
        <v>51</v>
      </c>
      <c r="E177" s="2" t="s">
        <v>21</v>
      </c>
      <c r="F177" s="2" t="s">
        <v>15</v>
      </c>
      <c r="G177" s="2" t="s">
        <v>29</v>
      </c>
      <c r="H177" s="11">
        <v>3.1347899159663801</v>
      </c>
      <c r="I177" s="7">
        <v>9.7458823529411806E-2</v>
      </c>
      <c r="J177" s="11">
        <v>2.8460504201680701</v>
      </c>
      <c r="K177" s="2" t="s">
        <v>17</v>
      </c>
      <c r="L177" s="2" t="str">
        <f>_xlfn.XLOOKUP(D177,Products!A:A,Products!B:B)</f>
        <v>Shirt</v>
      </c>
      <c r="M177" s="2" t="str">
        <f>_xlfn.XLOOKUP(D177,Products!A:A,Products!C:C)</f>
        <v>Clothing</v>
      </c>
      <c r="N177" s="2" t="str">
        <f>_xlfn.XLOOKUP(D177,Products!A:A,Products!D:D)</f>
        <v>Levis</v>
      </c>
      <c r="O177" s="2">
        <f>_xlfn.XLOOKUP(D177,Products!A:A,Products!E:E)</f>
        <v>700</v>
      </c>
      <c r="P177" s="2">
        <f>_xlfn.XLOOKUP(D177,Products!A:A,Products!F:F)</f>
        <v>1500</v>
      </c>
      <c r="Q177" s="11">
        <f t="shared" si="10"/>
        <v>4702.1848739495699</v>
      </c>
      <c r="R177" s="11">
        <f t="shared" si="11"/>
        <v>458.26940583292065</v>
      </c>
      <c r="S177" s="11">
        <f t="shared" si="12"/>
        <v>4243.9154681166492</v>
      </c>
      <c r="T177" s="11">
        <f t="shared" si="13"/>
        <v>2194.3529411764662</v>
      </c>
      <c r="U177" s="11">
        <f t="shared" si="14"/>
        <v>2049.562526940183</v>
      </c>
    </row>
    <row r="178" spans="1:21" x14ac:dyDescent="0.3">
      <c r="A178" s="2" t="s">
        <v>230</v>
      </c>
      <c r="B178" s="6">
        <v>46137</v>
      </c>
      <c r="C178" s="2" t="s">
        <v>32</v>
      </c>
      <c r="D178" s="2" t="s">
        <v>55</v>
      </c>
      <c r="E178" s="2" t="s">
        <v>38</v>
      </c>
      <c r="F178" s="2" t="s">
        <v>39</v>
      </c>
      <c r="G178" s="2" t="s">
        <v>16</v>
      </c>
      <c r="H178" s="11">
        <v>3.1383433373349301</v>
      </c>
      <c r="I178" s="7">
        <v>9.7606722689075595E-2</v>
      </c>
      <c r="J178" s="11">
        <v>2.8339975990396198</v>
      </c>
      <c r="K178" s="2" t="s">
        <v>17</v>
      </c>
      <c r="L178" s="2" t="str">
        <f>_xlfn.XLOOKUP(D178,Products!A:A,Products!B:B)</f>
        <v>Sports Shoes</v>
      </c>
      <c r="M178" s="2" t="str">
        <f>_xlfn.XLOOKUP(D178,Products!A:A,Products!C:C)</f>
        <v>Sports</v>
      </c>
      <c r="N178" s="2" t="str">
        <f>_xlfn.XLOOKUP(D178,Products!A:A,Products!D:D)</f>
        <v>Nike</v>
      </c>
      <c r="O178" s="2">
        <f>_xlfn.XLOOKUP(D178,Products!A:A,Products!E:E)</f>
        <v>2200</v>
      </c>
      <c r="P178" s="2">
        <f>_xlfn.XLOOKUP(D178,Products!A:A,Products!F:F)</f>
        <v>4500</v>
      </c>
      <c r="Q178" s="11">
        <f t="shared" si="10"/>
        <v>14122.545018007186</v>
      </c>
      <c r="R178" s="11">
        <f t="shared" si="11"/>
        <v>1378.4553352366136</v>
      </c>
      <c r="S178" s="11">
        <f t="shared" si="12"/>
        <v>12744.089682770573</v>
      </c>
      <c r="T178" s="11">
        <f t="shared" si="13"/>
        <v>6904.355342136846</v>
      </c>
      <c r="U178" s="11">
        <f t="shared" si="14"/>
        <v>5839.7343406337268</v>
      </c>
    </row>
    <row r="179" spans="1:21" x14ac:dyDescent="0.3">
      <c r="A179" s="2" t="s">
        <v>231</v>
      </c>
      <c r="B179" s="6">
        <v>46137</v>
      </c>
      <c r="C179" s="2" t="s">
        <v>34</v>
      </c>
      <c r="D179" s="2" t="s">
        <v>58</v>
      </c>
      <c r="E179" s="2" t="s">
        <v>44</v>
      </c>
      <c r="F179" s="2" t="s">
        <v>41</v>
      </c>
      <c r="G179" s="2" t="s">
        <v>23</v>
      </c>
      <c r="H179" s="11">
        <v>3.1418967587034801</v>
      </c>
      <c r="I179" s="7">
        <v>9.7754621848739495E-2</v>
      </c>
      <c r="J179" s="11">
        <v>2.8219447779111602</v>
      </c>
      <c r="K179" s="2" t="s">
        <v>30</v>
      </c>
      <c r="L179" s="2" t="str">
        <f>_xlfn.XLOOKUP(D179,Products!A:A,Products!B:B)</f>
        <v>Study Table</v>
      </c>
      <c r="M179" s="2" t="str">
        <f>_xlfn.XLOOKUP(D179,Products!A:A,Products!C:C)</f>
        <v>Furniture</v>
      </c>
      <c r="N179" s="2" t="str">
        <f>_xlfn.XLOOKUP(D179,Products!A:A,Products!D:D)</f>
        <v>Ikea</v>
      </c>
      <c r="O179" s="2">
        <f>_xlfn.XLOOKUP(D179,Products!A:A,Products!E:E)</f>
        <v>5000</v>
      </c>
      <c r="P179" s="2">
        <f>_xlfn.XLOOKUP(D179,Products!A:A,Products!F:F)</f>
        <v>8500</v>
      </c>
      <c r="Q179" s="11">
        <f t="shared" si="10"/>
        <v>26706.122448979582</v>
      </c>
      <c r="R179" s="11">
        <f t="shared" si="11"/>
        <v>2610.6469010461319</v>
      </c>
      <c r="S179" s="11">
        <f t="shared" si="12"/>
        <v>24095.475547933449</v>
      </c>
      <c r="T179" s="11">
        <f t="shared" si="13"/>
        <v>15709.4837935174</v>
      </c>
      <c r="U179" s="11">
        <f t="shared" si="14"/>
        <v>8385.9917544160489</v>
      </c>
    </row>
    <row r="180" spans="1:21" x14ac:dyDescent="0.3">
      <c r="A180" s="2" t="s">
        <v>232</v>
      </c>
      <c r="B180" s="6">
        <v>46113</v>
      </c>
      <c r="C180" s="2" t="s">
        <v>12</v>
      </c>
      <c r="D180" s="2" t="s">
        <v>13</v>
      </c>
      <c r="E180" s="2" t="s">
        <v>14</v>
      </c>
      <c r="F180" s="2" t="s">
        <v>15</v>
      </c>
      <c r="G180" s="2" t="s">
        <v>16</v>
      </c>
      <c r="H180" s="11">
        <v>3.14545018007203</v>
      </c>
      <c r="I180" s="7">
        <v>9.7902521008403298E-2</v>
      </c>
      <c r="J180" s="11">
        <v>2.8098919567827099</v>
      </c>
      <c r="K180" s="2" t="s">
        <v>17</v>
      </c>
      <c r="L180" s="2" t="str">
        <f>_xlfn.XLOOKUP(D180,Products!A:A,Products!B:B)</f>
        <v>Laptop</v>
      </c>
      <c r="M180" s="2" t="str">
        <f>_xlfn.XLOOKUP(D180,Products!A:A,Products!C:C)</f>
        <v>Electronics</v>
      </c>
      <c r="N180" s="2" t="str">
        <f>_xlfn.XLOOKUP(D180,Products!A:A,Products!D:D)</f>
        <v>HP</v>
      </c>
      <c r="O180" s="2">
        <f>_xlfn.XLOOKUP(D180,Products!A:A,Products!E:E)</f>
        <v>42000</v>
      </c>
      <c r="P180" s="2">
        <f>_xlfn.XLOOKUP(D180,Products!A:A,Products!F:F)</f>
        <v>55000</v>
      </c>
      <c r="Q180" s="11">
        <f t="shared" si="10"/>
        <v>172999.75990396165</v>
      </c>
      <c r="R180" s="11">
        <f t="shared" si="11"/>
        <v>16937.112628446332</v>
      </c>
      <c r="S180" s="11">
        <f t="shared" si="12"/>
        <v>156062.64727551531</v>
      </c>
      <c r="T180" s="11">
        <f t="shared" si="13"/>
        <v>132108.90756302525</v>
      </c>
      <c r="U180" s="11">
        <f t="shared" si="14"/>
        <v>23953.73971249006</v>
      </c>
    </row>
    <row r="181" spans="1:21" x14ac:dyDescent="0.3">
      <c r="A181" s="2" t="s">
        <v>233</v>
      </c>
      <c r="B181" s="6">
        <v>46113</v>
      </c>
      <c r="C181" s="2" t="s">
        <v>19</v>
      </c>
      <c r="D181" s="2" t="s">
        <v>20</v>
      </c>
      <c r="E181" s="2" t="s">
        <v>21</v>
      </c>
      <c r="F181" s="2" t="s">
        <v>22</v>
      </c>
      <c r="G181" s="2" t="s">
        <v>23</v>
      </c>
      <c r="H181" s="11">
        <v>3.1490036014405698</v>
      </c>
      <c r="I181" s="7">
        <v>9.8050420168067198E-2</v>
      </c>
      <c r="J181" s="11">
        <v>2.79783913565426</v>
      </c>
      <c r="K181" s="2" t="s">
        <v>17</v>
      </c>
      <c r="L181" s="2" t="str">
        <f>_xlfn.XLOOKUP(D181,Products!A:A,Products!B:B)</f>
        <v>Jeans</v>
      </c>
      <c r="M181" s="2" t="str">
        <f>_xlfn.XLOOKUP(D181,Products!A:A,Products!C:C)</f>
        <v>Clothing</v>
      </c>
      <c r="N181" s="2" t="str">
        <f>_xlfn.XLOOKUP(D181,Products!A:A,Products!D:D)</f>
        <v>Wrangler</v>
      </c>
      <c r="O181" s="2">
        <f>_xlfn.XLOOKUP(D181,Products!A:A,Products!E:E)</f>
        <v>1100</v>
      </c>
      <c r="P181" s="2">
        <f>_xlfn.XLOOKUP(D181,Products!A:A,Products!F:F)</f>
        <v>2200</v>
      </c>
      <c r="Q181" s="11">
        <f t="shared" si="10"/>
        <v>6927.8079231692536</v>
      </c>
      <c r="R181" s="11">
        <f t="shared" si="11"/>
        <v>679.27447771041034</v>
      </c>
      <c r="S181" s="11">
        <f t="shared" si="12"/>
        <v>6248.5334454588428</v>
      </c>
      <c r="T181" s="11">
        <f t="shared" si="13"/>
        <v>3463.9039615846268</v>
      </c>
      <c r="U181" s="11">
        <f t="shared" si="14"/>
        <v>2784.629483874216</v>
      </c>
    </row>
    <row r="182" spans="1:21" x14ac:dyDescent="0.3">
      <c r="A182" s="2" t="s">
        <v>234</v>
      </c>
      <c r="B182" s="6">
        <v>46114</v>
      </c>
      <c r="C182" s="2" t="s">
        <v>25</v>
      </c>
      <c r="D182" s="2" t="s">
        <v>26</v>
      </c>
      <c r="E182" s="2" t="s">
        <v>27</v>
      </c>
      <c r="F182" s="2" t="s">
        <v>28</v>
      </c>
      <c r="G182" s="2" t="s">
        <v>29</v>
      </c>
      <c r="H182" s="11">
        <v>3.1525570228091202</v>
      </c>
      <c r="I182" s="7">
        <v>9.8198319327731098E-2</v>
      </c>
      <c r="J182" s="11">
        <v>2.7857863145258102</v>
      </c>
      <c r="K182" s="2" t="s">
        <v>30</v>
      </c>
      <c r="L182" s="2" t="str">
        <f>_xlfn.XLOOKUP(D182,Products!A:A,Products!B:B)</f>
        <v>Face Wash</v>
      </c>
      <c r="M182" s="2" t="str">
        <f>_xlfn.XLOOKUP(D182,Products!A:A,Products!C:C)</f>
        <v>Beauty</v>
      </c>
      <c r="N182" s="2" t="str">
        <f>_xlfn.XLOOKUP(D182,Products!A:A,Products!D:D)</f>
        <v>Nivea</v>
      </c>
      <c r="O182" s="2">
        <f>_xlfn.XLOOKUP(D182,Products!A:A,Products!E:E)</f>
        <v>180</v>
      </c>
      <c r="P182" s="2">
        <f>_xlfn.XLOOKUP(D182,Products!A:A,Products!F:F)</f>
        <v>350</v>
      </c>
      <c r="Q182" s="11">
        <f t="shared" si="10"/>
        <v>1103.3949579831922</v>
      </c>
      <c r="R182" s="11">
        <f t="shared" si="11"/>
        <v>108.35153042864194</v>
      </c>
      <c r="S182" s="11">
        <f t="shared" si="12"/>
        <v>995.04342755455025</v>
      </c>
      <c r="T182" s="11">
        <f t="shared" si="13"/>
        <v>567.46026410564161</v>
      </c>
      <c r="U182" s="11">
        <f t="shared" si="14"/>
        <v>427.58316344890864</v>
      </c>
    </row>
    <row r="183" spans="1:21" x14ac:dyDescent="0.3">
      <c r="A183" s="4" t="s">
        <v>235</v>
      </c>
      <c r="B183" s="5">
        <v>46114</v>
      </c>
      <c r="C183" s="4" t="s">
        <v>32</v>
      </c>
      <c r="D183" s="4" t="s">
        <v>37</v>
      </c>
      <c r="E183" s="4" t="s">
        <v>38</v>
      </c>
      <c r="F183" s="4" t="s">
        <v>39</v>
      </c>
      <c r="G183" s="4" t="s">
        <v>16</v>
      </c>
      <c r="H183" s="12">
        <v>3.1561104441776702</v>
      </c>
      <c r="I183" s="8">
        <v>9.8346218487394901E-2</v>
      </c>
      <c r="J183" s="12">
        <v>2.7737334933973599</v>
      </c>
      <c r="K183" s="4" t="s">
        <v>17</v>
      </c>
      <c r="L183" s="2" t="str">
        <f>_xlfn.XLOOKUP(D183,Products!A:A,Products!B:B)</f>
        <v>Headphones</v>
      </c>
      <c r="M183" s="2" t="str">
        <f>_xlfn.XLOOKUP(D183,Products!A:A,Products!C:C)</f>
        <v>Electronics</v>
      </c>
      <c r="N183" s="2" t="str">
        <f>_xlfn.XLOOKUP(D183,Products!A:A,Products!D:D)</f>
        <v>Sony</v>
      </c>
      <c r="O183" s="2">
        <f>_xlfn.XLOOKUP(D183,Products!A:A,Products!E:E)</f>
        <v>1800</v>
      </c>
      <c r="P183" s="2">
        <f>_xlfn.XLOOKUP(D183,Products!A:A,Products!F:F)</f>
        <v>3200</v>
      </c>
      <c r="Q183" s="11">
        <f t="shared" si="10"/>
        <v>10099.553421368544</v>
      </c>
      <c r="R183" s="11">
        <f t="shared" si="11"/>
        <v>993.25288740302756</v>
      </c>
      <c r="S183" s="11">
        <f t="shared" si="12"/>
        <v>9106.3005339655174</v>
      </c>
      <c r="T183" s="11">
        <f t="shared" si="13"/>
        <v>5680.9987995198062</v>
      </c>
      <c r="U183" s="11">
        <f t="shared" si="14"/>
        <v>3425.3017344457112</v>
      </c>
    </row>
    <row r="184" spans="1:21" x14ac:dyDescent="0.3">
      <c r="A184" s="1" t="s">
        <v>236</v>
      </c>
      <c r="B184" s="9">
        <v>46115</v>
      </c>
      <c r="C184" s="1" t="s">
        <v>34</v>
      </c>
      <c r="D184" s="1" t="s">
        <v>40</v>
      </c>
      <c r="E184" s="1" t="s">
        <v>14</v>
      </c>
      <c r="F184" s="1" t="s">
        <v>41</v>
      </c>
      <c r="G184" s="1" t="s">
        <v>42</v>
      </c>
      <c r="H184" s="13">
        <v>3.1596638655462201</v>
      </c>
      <c r="I184" s="10">
        <v>9.8494117647058801E-2</v>
      </c>
      <c r="J184" s="13">
        <v>2.76168067226891</v>
      </c>
      <c r="K184" s="10" t="s">
        <v>17</v>
      </c>
      <c r="L184" s="2" t="str">
        <f>_xlfn.XLOOKUP(D184,Products!A:A,Products!B:B)</f>
        <v>Office Chair</v>
      </c>
      <c r="M184" s="2" t="str">
        <f>_xlfn.XLOOKUP(D184,Products!A:A,Products!C:C)</f>
        <v>Furniture</v>
      </c>
      <c r="N184" s="2" t="str">
        <f>_xlfn.XLOOKUP(D184,Products!A:A,Products!D:D)</f>
        <v>Featherlite</v>
      </c>
      <c r="O184" s="2">
        <f>_xlfn.XLOOKUP(D184,Products!A:A,Products!E:E)</f>
        <v>4500</v>
      </c>
      <c r="P184" s="2">
        <f>_xlfn.XLOOKUP(D184,Products!A:A,Products!F:F)</f>
        <v>7500</v>
      </c>
      <c r="Q184" s="11">
        <f t="shared" si="10"/>
        <v>23697.47899159665</v>
      </c>
      <c r="R184" s="11">
        <f t="shared" si="11"/>
        <v>2334.0622837370247</v>
      </c>
      <c r="S184" s="11">
        <f t="shared" si="12"/>
        <v>21363.416707859626</v>
      </c>
      <c r="T184" s="11">
        <f t="shared" si="13"/>
        <v>14218.487394957991</v>
      </c>
      <c r="U184" s="11">
        <f t="shared" si="14"/>
        <v>7144.9293129016351</v>
      </c>
    </row>
    <row r="185" spans="1:21" x14ac:dyDescent="0.3">
      <c r="A185" s="1" t="s">
        <v>237</v>
      </c>
      <c r="B185" s="9">
        <v>46115</v>
      </c>
      <c r="C185" s="1" t="s">
        <v>36</v>
      </c>
      <c r="D185" s="1" t="s">
        <v>43</v>
      </c>
      <c r="E185" s="1" t="s">
        <v>44</v>
      </c>
      <c r="F185" s="1" t="s">
        <v>15</v>
      </c>
      <c r="G185" s="1" t="s">
        <v>23</v>
      </c>
      <c r="H185" s="13">
        <v>3.1632172869147599</v>
      </c>
      <c r="I185" s="10">
        <v>9.8642016806722702E-2</v>
      </c>
      <c r="J185" s="13">
        <v>2.7496278511404602</v>
      </c>
      <c r="K185" s="10" t="s">
        <v>17</v>
      </c>
      <c r="L185" s="2" t="str">
        <f>_xlfn.XLOOKUP(D185,Products!A:A,Products!B:B)</f>
        <v>Smartphone</v>
      </c>
      <c r="M185" s="2" t="str">
        <f>_xlfn.XLOOKUP(D185,Products!A:A,Products!C:C)</f>
        <v>Electronics</v>
      </c>
      <c r="N185" s="2" t="str">
        <f>_xlfn.XLOOKUP(D185,Products!A:A,Products!D:D)</f>
        <v>Samsung</v>
      </c>
      <c r="O185" s="2">
        <f>_xlfn.XLOOKUP(D185,Products!A:A,Products!E:E)</f>
        <v>14000</v>
      </c>
      <c r="P185" s="2">
        <f>_xlfn.XLOOKUP(D185,Products!A:A,Products!F:F)</f>
        <v>22000</v>
      </c>
      <c r="Q185" s="11">
        <f t="shared" si="10"/>
        <v>69590.780312124713</v>
      </c>
      <c r="R185" s="11">
        <f t="shared" si="11"/>
        <v>6864.5749211415532</v>
      </c>
      <c r="S185" s="11">
        <f t="shared" si="12"/>
        <v>62726.205390983159</v>
      </c>
      <c r="T185" s="11">
        <f t="shared" si="13"/>
        <v>44285.042016806641</v>
      </c>
      <c r="U185" s="11">
        <f t="shared" si="14"/>
        <v>18441.163374176518</v>
      </c>
    </row>
    <row r="186" spans="1:21" x14ac:dyDescent="0.3">
      <c r="A186" s="1" t="s">
        <v>238</v>
      </c>
      <c r="B186" s="9">
        <v>46116</v>
      </c>
      <c r="C186" s="1" t="s">
        <v>46</v>
      </c>
      <c r="D186" s="1" t="s">
        <v>47</v>
      </c>
      <c r="E186" s="1" t="s">
        <v>27</v>
      </c>
      <c r="F186" s="1" t="s">
        <v>22</v>
      </c>
      <c r="G186" s="1" t="s">
        <v>16</v>
      </c>
      <c r="H186" s="13">
        <v>3.1667707082833099</v>
      </c>
      <c r="I186" s="10">
        <v>9.8789915966386505E-2</v>
      </c>
      <c r="J186" s="13">
        <v>2.7375750300120099</v>
      </c>
      <c r="K186" s="10" t="s">
        <v>48</v>
      </c>
      <c r="L186" s="2" t="str">
        <f>_xlfn.XLOOKUP(D186,Products!A:A,Products!B:B)</f>
        <v>Mixer Grinder</v>
      </c>
      <c r="M186" s="2" t="str">
        <f>_xlfn.XLOOKUP(D186,Products!A:A,Products!C:C)</f>
        <v>Home Appliances</v>
      </c>
      <c r="N186" s="2" t="str">
        <f>_xlfn.XLOOKUP(D186,Products!A:A,Products!D:D)</f>
        <v>Philips</v>
      </c>
      <c r="O186" s="2">
        <f>_xlfn.XLOOKUP(D186,Products!A:A,Products!E:E)</f>
        <v>2800</v>
      </c>
      <c r="P186" s="2">
        <f>_xlfn.XLOOKUP(D186,Products!A:A,Products!F:F)</f>
        <v>4800</v>
      </c>
      <c r="Q186" s="11">
        <f t="shared" si="10"/>
        <v>15200.499399759887</v>
      </c>
      <c r="R186" s="11">
        <f t="shared" si="11"/>
        <v>1501.6560583493876</v>
      </c>
      <c r="S186" s="11">
        <f t="shared" si="12"/>
        <v>13698.843341410498</v>
      </c>
      <c r="T186" s="11">
        <f t="shared" si="13"/>
        <v>8866.9579831932679</v>
      </c>
      <c r="U186" s="11">
        <f t="shared" si="14"/>
        <v>4831.8853582172305</v>
      </c>
    </row>
    <row r="187" spans="1:21" x14ac:dyDescent="0.3">
      <c r="A187" s="2" t="s">
        <v>239</v>
      </c>
      <c r="B187" s="6">
        <v>46116</v>
      </c>
      <c r="C187" s="2" t="s">
        <v>50</v>
      </c>
      <c r="D187" s="2" t="s">
        <v>51</v>
      </c>
      <c r="E187" s="2" t="s">
        <v>21</v>
      </c>
      <c r="F187" s="2" t="s">
        <v>52</v>
      </c>
      <c r="G187" s="2" t="s">
        <v>16</v>
      </c>
      <c r="H187" s="11">
        <v>3.1703241296518598</v>
      </c>
      <c r="I187" s="7">
        <v>9.8937815126050405E-2</v>
      </c>
      <c r="J187" s="11">
        <v>2.7255222088835498</v>
      </c>
      <c r="K187" s="2" t="s">
        <v>17</v>
      </c>
      <c r="L187" s="2" t="str">
        <f>_xlfn.XLOOKUP(D187,Products!A:A,Products!B:B)</f>
        <v>Shirt</v>
      </c>
      <c r="M187" s="2" t="str">
        <f>_xlfn.XLOOKUP(D187,Products!A:A,Products!C:C)</f>
        <v>Clothing</v>
      </c>
      <c r="N187" s="2" t="str">
        <f>_xlfn.XLOOKUP(D187,Products!A:A,Products!D:D)</f>
        <v>Levis</v>
      </c>
      <c r="O187" s="2">
        <f>_xlfn.XLOOKUP(D187,Products!A:A,Products!E:E)</f>
        <v>700</v>
      </c>
      <c r="P187" s="2">
        <f>_xlfn.XLOOKUP(D187,Products!A:A,Products!F:F)</f>
        <v>1500</v>
      </c>
      <c r="Q187" s="11">
        <f t="shared" si="10"/>
        <v>4755.4861944777895</v>
      </c>
      <c r="R187" s="11">
        <f t="shared" si="11"/>
        <v>470.49741394372853</v>
      </c>
      <c r="S187" s="11">
        <f t="shared" si="12"/>
        <v>4284.9887805340613</v>
      </c>
      <c r="T187" s="11">
        <f t="shared" si="13"/>
        <v>2219.2268907563021</v>
      </c>
      <c r="U187" s="11">
        <f t="shared" si="14"/>
        <v>2065.7618897777593</v>
      </c>
    </row>
    <row r="188" spans="1:21" x14ac:dyDescent="0.3">
      <c r="A188" s="2" t="s">
        <v>240</v>
      </c>
      <c r="B188" s="6">
        <v>46117</v>
      </c>
      <c r="C188" s="2" t="s">
        <v>54</v>
      </c>
      <c r="D188" s="2" t="s">
        <v>55</v>
      </c>
      <c r="E188" s="2" t="s">
        <v>38</v>
      </c>
      <c r="F188" s="2" t="s">
        <v>15</v>
      </c>
      <c r="G188" s="2" t="s">
        <v>29</v>
      </c>
      <c r="H188" s="11">
        <v>3.1738775510204</v>
      </c>
      <c r="I188" s="7">
        <v>9.9085714285714305E-2</v>
      </c>
      <c r="J188" s="11">
        <v>2.7134693877550999</v>
      </c>
      <c r="K188" s="2" t="s">
        <v>30</v>
      </c>
      <c r="L188" s="2" t="str">
        <f>_xlfn.XLOOKUP(D188,Products!A:A,Products!B:B)</f>
        <v>Sports Shoes</v>
      </c>
      <c r="M188" s="2" t="str">
        <f>_xlfn.XLOOKUP(D188,Products!A:A,Products!C:C)</f>
        <v>Sports</v>
      </c>
      <c r="N188" s="2" t="str">
        <f>_xlfn.XLOOKUP(D188,Products!A:A,Products!D:D)</f>
        <v>Nike</v>
      </c>
      <c r="O188" s="2">
        <f>_xlfn.XLOOKUP(D188,Products!A:A,Products!E:E)</f>
        <v>2200</v>
      </c>
      <c r="P188" s="2">
        <f>_xlfn.XLOOKUP(D188,Products!A:A,Products!F:F)</f>
        <v>4500</v>
      </c>
      <c r="Q188" s="11">
        <f t="shared" si="10"/>
        <v>14282.4489795918</v>
      </c>
      <c r="R188" s="11">
        <f t="shared" si="11"/>
        <v>1415.1866588921248</v>
      </c>
      <c r="S188" s="11">
        <f t="shared" si="12"/>
        <v>12867.262320699676</v>
      </c>
      <c r="T188" s="11">
        <f t="shared" si="13"/>
        <v>6982.5306122448801</v>
      </c>
      <c r="U188" s="11">
        <f t="shared" si="14"/>
        <v>5884.7317084547958</v>
      </c>
    </row>
    <row r="189" spans="1:21" x14ac:dyDescent="0.3">
      <c r="A189" s="2" t="s">
        <v>241</v>
      </c>
      <c r="B189" s="6">
        <v>46117</v>
      </c>
      <c r="C189" s="2" t="s">
        <v>57</v>
      </c>
      <c r="D189" s="2" t="s">
        <v>58</v>
      </c>
      <c r="E189" s="2" t="s">
        <v>44</v>
      </c>
      <c r="F189" s="2" t="s">
        <v>41</v>
      </c>
      <c r="G189" s="2" t="s">
        <v>23</v>
      </c>
      <c r="H189" s="11">
        <v>3.17743097238895</v>
      </c>
      <c r="I189" s="7">
        <v>9.9233613445378094E-2</v>
      </c>
      <c r="J189" s="11">
        <v>2.7014165666266501</v>
      </c>
      <c r="K189" s="2" t="s">
        <v>17</v>
      </c>
      <c r="L189" s="2" t="str">
        <f>_xlfn.XLOOKUP(D189,Products!A:A,Products!B:B)</f>
        <v>Study Table</v>
      </c>
      <c r="M189" s="2" t="str">
        <f>_xlfn.XLOOKUP(D189,Products!A:A,Products!C:C)</f>
        <v>Furniture</v>
      </c>
      <c r="N189" s="2" t="str">
        <f>_xlfn.XLOOKUP(D189,Products!A:A,Products!D:D)</f>
        <v>Ikea</v>
      </c>
      <c r="O189" s="2">
        <f>_xlfn.XLOOKUP(D189,Products!A:A,Products!E:E)</f>
        <v>5000</v>
      </c>
      <c r="P189" s="2">
        <f>_xlfn.XLOOKUP(D189,Products!A:A,Products!F:F)</f>
        <v>8500</v>
      </c>
      <c r="Q189" s="11">
        <f t="shared" si="10"/>
        <v>27008.163265306073</v>
      </c>
      <c r="R189" s="11">
        <f t="shared" si="11"/>
        <v>2680.1176333390436</v>
      </c>
      <c r="S189" s="11">
        <f t="shared" si="12"/>
        <v>24328.04563196703</v>
      </c>
      <c r="T189" s="11">
        <f t="shared" si="13"/>
        <v>15887.154861944749</v>
      </c>
      <c r="U189" s="11">
        <f t="shared" si="14"/>
        <v>8440.8907700222808</v>
      </c>
    </row>
    <row r="190" spans="1:21" x14ac:dyDescent="0.3">
      <c r="A190" s="2" t="s">
        <v>242</v>
      </c>
      <c r="B190" s="6">
        <v>46118</v>
      </c>
      <c r="C190" s="2" t="s">
        <v>60</v>
      </c>
      <c r="D190" s="2" t="s">
        <v>13</v>
      </c>
      <c r="E190" s="2" t="s">
        <v>14</v>
      </c>
      <c r="F190" s="2" t="s">
        <v>22</v>
      </c>
      <c r="G190" s="2" t="s">
        <v>16</v>
      </c>
      <c r="H190" s="11">
        <v>3.1809843937575</v>
      </c>
      <c r="I190" s="7">
        <v>9.9381512605041994E-2</v>
      </c>
      <c r="J190" s="11">
        <v>2.6893637454981998</v>
      </c>
      <c r="K190" s="2" t="s">
        <v>17</v>
      </c>
      <c r="L190" s="2" t="str">
        <f>_xlfn.XLOOKUP(D190,Products!A:A,Products!B:B)</f>
        <v>Laptop</v>
      </c>
      <c r="M190" s="2" t="str">
        <f>_xlfn.XLOOKUP(D190,Products!A:A,Products!C:C)</f>
        <v>Electronics</v>
      </c>
      <c r="N190" s="2" t="str">
        <f>_xlfn.XLOOKUP(D190,Products!A:A,Products!D:D)</f>
        <v>HP</v>
      </c>
      <c r="O190" s="2">
        <f>_xlfn.XLOOKUP(D190,Products!A:A,Products!E:E)</f>
        <v>42000</v>
      </c>
      <c r="P190" s="2">
        <f>_xlfn.XLOOKUP(D190,Products!A:A,Products!F:F)</f>
        <v>55000</v>
      </c>
      <c r="Q190" s="11">
        <f t="shared" si="10"/>
        <v>174954.14165666251</v>
      </c>
      <c r="R190" s="11">
        <f t="shared" si="11"/>
        <v>17387.207234355908</v>
      </c>
      <c r="S190" s="11">
        <f t="shared" si="12"/>
        <v>157566.9344223066</v>
      </c>
      <c r="T190" s="11">
        <f t="shared" si="13"/>
        <v>133601.34453781499</v>
      </c>
      <c r="U190" s="11">
        <f t="shared" si="14"/>
        <v>23965.589884491608</v>
      </c>
    </row>
    <row r="191" spans="1:21" x14ac:dyDescent="0.3">
      <c r="A191" s="2" t="s">
        <v>243</v>
      </c>
      <c r="B191" s="6">
        <v>46118</v>
      </c>
      <c r="C191" s="2" t="s">
        <v>62</v>
      </c>
      <c r="D191" s="2" t="s">
        <v>26</v>
      </c>
      <c r="E191" s="2" t="s">
        <v>27</v>
      </c>
      <c r="F191" s="2" t="s">
        <v>15</v>
      </c>
      <c r="G191" s="2" t="s">
        <v>42</v>
      </c>
      <c r="H191" s="11">
        <v>3.1845378151260499</v>
      </c>
      <c r="I191" s="7">
        <v>9.9529411764705894E-2</v>
      </c>
      <c r="J191" s="11">
        <v>2.6773109243697499</v>
      </c>
      <c r="K191" s="2" t="s">
        <v>17</v>
      </c>
      <c r="L191" s="2" t="str">
        <f>_xlfn.XLOOKUP(D191,Products!A:A,Products!B:B)</f>
        <v>Face Wash</v>
      </c>
      <c r="M191" s="2" t="str">
        <f>_xlfn.XLOOKUP(D191,Products!A:A,Products!C:C)</f>
        <v>Beauty</v>
      </c>
      <c r="N191" s="2" t="str">
        <f>_xlfn.XLOOKUP(D191,Products!A:A,Products!D:D)</f>
        <v>Nivea</v>
      </c>
      <c r="O191" s="2">
        <f>_xlfn.XLOOKUP(D191,Products!A:A,Products!E:E)</f>
        <v>180</v>
      </c>
      <c r="P191" s="2">
        <f>_xlfn.XLOOKUP(D191,Products!A:A,Products!F:F)</f>
        <v>350</v>
      </c>
      <c r="Q191" s="11">
        <f t="shared" si="10"/>
        <v>1114.5882352941176</v>
      </c>
      <c r="R191" s="11">
        <f t="shared" si="11"/>
        <v>110.93431141868513</v>
      </c>
      <c r="S191" s="11">
        <f t="shared" si="12"/>
        <v>1003.6539238754324</v>
      </c>
      <c r="T191" s="11">
        <f t="shared" si="13"/>
        <v>573.21680672268894</v>
      </c>
      <c r="U191" s="11">
        <f t="shared" si="14"/>
        <v>430.43711715274344</v>
      </c>
    </row>
    <row r="192" spans="1:21" x14ac:dyDescent="0.3">
      <c r="A192" s="2" t="s">
        <v>244</v>
      </c>
      <c r="B192" s="6">
        <v>46119</v>
      </c>
      <c r="C192" s="2" t="s">
        <v>64</v>
      </c>
      <c r="D192" s="2" t="s">
        <v>20</v>
      </c>
      <c r="E192" s="2" t="s">
        <v>21</v>
      </c>
      <c r="F192" s="2" t="s">
        <v>39</v>
      </c>
      <c r="G192" s="2" t="s">
        <v>23</v>
      </c>
      <c r="H192" s="11">
        <v>3.1880912364945999</v>
      </c>
      <c r="I192" s="7">
        <v>9.9677310924369697E-2</v>
      </c>
      <c r="J192" s="11">
        <v>2.6652581032413001</v>
      </c>
      <c r="K192" s="2" t="s">
        <v>17</v>
      </c>
      <c r="L192" s="2" t="str">
        <f>_xlfn.XLOOKUP(D192,Products!A:A,Products!B:B)</f>
        <v>Jeans</v>
      </c>
      <c r="M192" s="2" t="str">
        <f>_xlfn.XLOOKUP(D192,Products!A:A,Products!C:C)</f>
        <v>Clothing</v>
      </c>
      <c r="N192" s="2" t="str">
        <f>_xlfn.XLOOKUP(D192,Products!A:A,Products!D:D)</f>
        <v>Wrangler</v>
      </c>
      <c r="O192" s="2">
        <f>_xlfn.XLOOKUP(D192,Products!A:A,Products!E:E)</f>
        <v>1100</v>
      </c>
      <c r="P192" s="2">
        <f>_xlfn.XLOOKUP(D192,Products!A:A,Products!F:F)</f>
        <v>2200</v>
      </c>
      <c r="Q192" s="11">
        <f t="shared" si="10"/>
        <v>7013.8007202881199</v>
      </c>
      <c r="R192" s="11">
        <f t="shared" si="11"/>
        <v>699.1167951577271</v>
      </c>
      <c r="S192" s="11">
        <f t="shared" si="12"/>
        <v>6314.6839251303927</v>
      </c>
      <c r="T192" s="11">
        <f t="shared" si="13"/>
        <v>3506.90036014406</v>
      </c>
      <c r="U192" s="11">
        <f t="shared" si="14"/>
        <v>2807.7835649863327</v>
      </c>
    </row>
    <row r="193" spans="1:21" x14ac:dyDescent="0.3">
      <c r="A193" s="2" t="s">
        <v>245</v>
      </c>
      <c r="B193" s="6">
        <v>46119</v>
      </c>
      <c r="C193" s="2" t="s">
        <v>66</v>
      </c>
      <c r="D193" s="2" t="s">
        <v>37</v>
      </c>
      <c r="E193" s="2" t="s">
        <v>38</v>
      </c>
      <c r="F193" s="2" t="s">
        <v>15</v>
      </c>
      <c r="G193" s="2" t="s">
        <v>16</v>
      </c>
      <c r="H193" s="11">
        <v>3.1916446578631401</v>
      </c>
      <c r="I193" s="7">
        <v>9.9825210084033597E-2</v>
      </c>
      <c r="J193" s="11">
        <v>2.65320528211284</v>
      </c>
      <c r="K193" s="2" t="s">
        <v>17</v>
      </c>
      <c r="L193" s="2" t="str">
        <f>_xlfn.XLOOKUP(D193,Products!A:A,Products!B:B)</f>
        <v>Headphones</v>
      </c>
      <c r="M193" s="2" t="str">
        <f>_xlfn.XLOOKUP(D193,Products!A:A,Products!C:C)</f>
        <v>Electronics</v>
      </c>
      <c r="N193" s="2" t="str">
        <f>_xlfn.XLOOKUP(D193,Products!A:A,Products!D:D)</f>
        <v>Sony</v>
      </c>
      <c r="O193" s="2">
        <f>_xlfn.XLOOKUP(D193,Products!A:A,Products!E:E)</f>
        <v>1800</v>
      </c>
      <c r="P193" s="2">
        <f>_xlfn.XLOOKUP(D193,Products!A:A,Products!F:F)</f>
        <v>3200</v>
      </c>
      <c r="Q193" s="11">
        <f t="shared" si="10"/>
        <v>10213.262905162048</v>
      </c>
      <c r="R193" s="11">
        <f t="shared" si="11"/>
        <v>1019.5411151512687</v>
      </c>
      <c r="S193" s="11">
        <f t="shared" si="12"/>
        <v>9193.7217900107789</v>
      </c>
      <c r="T193" s="11">
        <f t="shared" si="13"/>
        <v>5744.9603841536518</v>
      </c>
      <c r="U193" s="11">
        <f t="shared" si="14"/>
        <v>3448.7614058571271</v>
      </c>
    </row>
    <row r="194" spans="1:21" x14ac:dyDescent="0.3">
      <c r="A194" s="2" t="s">
        <v>246</v>
      </c>
      <c r="B194" s="6">
        <v>46113</v>
      </c>
      <c r="C194" s="2" t="s">
        <v>12</v>
      </c>
      <c r="D194" s="2" t="s">
        <v>13</v>
      </c>
      <c r="E194" s="2" t="s">
        <v>14</v>
      </c>
      <c r="F194" s="2" t="s">
        <v>15</v>
      </c>
      <c r="G194" s="2" t="s">
        <v>16</v>
      </c>
      <c r="H194" s="11">
        <v>3.1951980792316901</v>
      </c>
      <c r="I194" s="7">
        <v>9.9973109243697497E-2</v>
      </c>
      <c r="J194" s="11">
        <v>2.6411524609843902</v>
      </c>
      <c r="K194" s="2" t="s">
        <v>17</v>
      </c>
      <c r="L194" s="2" t="str">
        <f>_xlfn.XLOOKUP(D194,Products!A:A,Products!B:B)</f>
        <v>Laptop</v>
      </c>
      <c r="M194" s="2" t="str">
        <f>_xlfn.XLOOKUP(D194,Products!A:A,Products!C:C)</f>
        <v>Electronics</v>
      </c>
      <c r="N194" s="2" t="str">
        <f>_xlfn.XLOOKUP(D194,Products!A:A,Products!D:D)</f>
        <v>HP</v>
      </c>
      <c r="O194" s="2">
        <f>_xlfn.XLOOKUP(D194,Products!A:A,Products!E:E)</f>
        <v>42000</v>
      </c>
      <c r="P194" s="2">
        <f>_xlfn.XLOOKUP(D194,Products!A:A,Products!F:F)</f>
        <v>55000</v>
      </c>
      <c r="Q194" s="11">
        <f t="shared" si="10"/>
        <v>175735.89435774295</v>
      </c>
      <c r="R194" s="11">
        <f t="shared" si="11"/>
        <v>17568.863764665519</v>
      </c>
      <c r="S194" s="11">
        <f t="shared" si="12"/>
        <v>158167.03059307742</v>
      </c>
      <c r="T194" s="11">
        <f t="shared" si="13"/>
        <v>134198.31932773098</v>
      </c>
      <c r="U194" s="11">
        <f t="shared" si="14"/>
        <v>23968.711265346443</v>
      </c>
    </row>
    <row r="195" spans="1:21" x14ac:dyDescent="0.3">
      <c r="A195" s="2" t="s">
        <v>247</v>
      </c>
      <c r="B195" s="6">
        <v>46113</v>
      </c>
      <c r="C195" s="2" t="s">
        <v>19</v>
      </c>
      <c r="D195" s="2" t="s">
        <v>20</v>
      </c>
      <c r="E195" s="2" t="s">
        <v>21</v>
      </c>
      <c r="F195" s="2" t="s">
        <v>22</v>
      </c>
      <c r="G195" s="2" t="s">
        <v>23</v>
      </c>
      <c r="H195" s="11">
        <v>3.19875150060024</v>
      </c>
      <c r="I195" s="7">
        <v>0.10012100840336099</v>
      </c>
      <c r="J195" s="11">
        <v>2.6290996398559399</v>
      </c>
      <c r="K195" s="2" t="s">
        <v>17</v>
      </c>
      <c r="L195" s="2" t="str">
        <f>_xlfn.XLOOKUP(D195,Products!A:A,Products!B:B)</f>
        <v>Jeans</v>
      </c>
      <c r="M195" s="2" t="str">
        <f>_xlfn.XLOOKUP(D195,Products!A:A,Products!C:C)</f>
        <v>Clothing</v>
      </c>
      <c r="N195" s="2" t="str">
        <f>_xlfn.XLOOKUP(D195,Products!A:A,Products!D:D)</f>
        <v>Wrangler</v>
      </c>
      <c r="O195" s="2">
        <f>_xlfn.XLOOKUP(D195,Products!A:A,Products!E:E)</f>
        <v>1100</v>
      </c>
      <c r="P195" s="2">
        <f>_xlfn.XLOOKUP(D195,Products!A:A,Products!F:F)</f>
        <v>2200</v>
      </c>
      <c r="Q195" s="11">
        <f t="shared" ref="Q195:Q258" si="15">H195*P195</f>
        <v>7037.2533013205284</v>
      </c>
      <c r="R195" s="11">
        <f t="shared" ref="R195:R258" si="16">Q195*I195</f>
        <v>704.57689691809253</v>
      </c>
      <c r="S195" s="11">
        <f t="shared" ref="S195:S258" si="17">Q195-R195</f>
        <v>6332.6764044024358</v>
      </c>
      <c r="T195" s="11">
        <f t="shared" ref="T195:T258" si="18">H195*O195</f>
        <v>3518.6266506602642</v>
      </c>
      <c r="U195" s="11">
        <f t="shared" ref="U195:U258" si="19">S195-T195</f>
        <v>2814.0497537421716</v>
      </c>
    </row>
    <row r="196" spans="1:21" x14ac:dyDescent="0.3">
      <c r="A196" s="2" t="s">
        <v>248</v>
      </c>
      <c r="B196" s="6">
        <v>46114</v>
      </c>
      <c r="C196" s="2" t="s">
        <v>25</v>
      </c>
      <c r="D196" s="2" t="s">
        <v>26</v>
      </c>
      <c r="E196" s="2" t="s">
        <v>27</v>
      </c>
      <c r="F196" s="2" t="s">
        <v>28</v>
      </c>
      <c r="G196" s="2" t="s">
        <v>29</v>
      </c>
      <c r="H196" s="11">
        <v>3.2023049219687798</v>
      </c>
      <c r="I196" s="7">
        <v>0.10026890756302501</v>
      </c>
      <c r="J196" s="11">
        <v>2.61704681872749</v>
      </c>
      <c r="K196" s="2" t="s">
        <v>30</v>
      </c>
      <c r="L196" s="2" t="str">
        <f>_xlfn.XLOOKUP(D196,Products!A:A,Products!B:B)</f>
        <v>Face Wash</v>
      </c>
      <c r="M196" s="2" t="str">
        <f>_xlfn.XLOOKUP(D196,Products!A:A,Products!C:C)</f>
        <v>Beauty</v>
      </c>
      <c r="N196" s="2" t="str">
        <f>_xlfn.XLOOKUP(D196,Products!A:A,Products!D:D)</f>
        <v>Nivea</v>
      </c>
      <c r="O196" s="2">
        <f>_xlfn.XLOOKUP(D196,Products!A:A,Products!E:E)</f>
        <v>180</v>
      </c>
      <c r="P196" s="2">
        <f>_xlfn.XLOOKUP(D196,Products!A:A,Products!F:F)</f>
        <v>350</v>
      </c>
      <c r="Q196" s="11">
        <f t="shared" si="15"/>
        <v>1120.806722689073</v>
      </c>
      <c r="R196" s="11">
        <f t="shared" si="16"/>
        <v>112.38206567332766</v>
      </c>
      <c r="S196" s="11">
        <f t="shared" si="17"/>
        <v>1008.4246570157453</v>
      </c>
      <c r="T196" s="11">
        <f t="shared" si="18"/>
        <v>576.41488595438034</v>
      </c>
      <c r="U196" s="11">
        <f t="shared" si="19"/>
        <v>432.00977106136497</v>
      </c>
    </row>
    <row r="197" spans="1:21" x14ac:dyDescent="0.3">
      <c r="A197" s="4" t="s">
        <v>249</v>
      </c>
      <c r="B197" s="5">
        <v>46114</v>
      </c>
      <c r="C197" s="4" t="s">
        <v>32</v>
      </c>
      <c r="D197" s="4" t="s">
        <v>37</v>
      </c>
      <c r="E197" s="4" t="s">
        <v>38</v>
      </c>
      <c r="F197" s="4" t="s">
        <v>39</v>
      </c>
      <c r="G197" s="4" t="s">
        <v>16</v>
      </c>
      <c r="H197" s="12">
        <v>3.2058583433373302</v>
      </c>
      <c r="I197" s="8">
        <v>0.100416806722689</v>
      </c>
      <c r="J197" s="12">
        <v>2.6049939975990402</v>
      </c>
      <c r="K197" s="4" t="s">
        <v>17</v>
      </c>
      <c r="L197" s="2" t="str">
        <f>_xlfn.XLOOKUP(D197,Products!A:A,Products!B:B)</f>
        <v>Headphones</v>
      </c>
      <c r="M197" s="2" t="str">
        <f>_xlfn.XLOOKUP(D197,Products!A:A,Products!C:C)</f>
        <v>Electronics</v>
      </c>
      <c r="N197" s="2" t="str">
        <f>_xlfn.XLOOKUP(D197,Products!A:A,Products!D:D)</f>
        <v>Sony</v>
      </c>
      <c r="O197" s="2">
        <f>_xlfn.XLOOKUP(D197,Products!A:A,Products!E:E)</f>
        <v>1800</v>
      </c>
      <c r="P197" s="2">
        <f>_xlfn.XLOOKUP(D197,Products!A:A,Products!F:F)</f>
        <v>3200</v>
      </c>
      <c r="Q197" s="11">
        <f t="shared" si="15"/>
        <v>10258.746698679457</v>
      </c>
      <c r="R197" s="11">
        <f t="shared" si="16"/>
        <v>1030.1505844583189</v>
      </c>
      <c r="S197" s="11">
        <f t="shared" si="17"/>
        <v>9228.5961142211381</v>
      </c>
      <c r="T197" s="11">
        <f t="shared" si="18"/>
        <v>5770.5450180071948</v>
      </c>
      <c r="U197" s="11">
        <f t="shared" si="19"/>
        <v>3458.0510962139433</v>
      </c>
    </row>
    <row r="198" spans="1:21" x14ac:dyDescent="0.3">
      <c r="A198" s="1" t="s">
        <v>250</v>
      </c>
      <c r="B198" s="9">
        <v>46115</v>
      </c>
      <c r="C198" s="1" t="s">
        <v>34</v>
      </c>
      <c r="D198" s="1" t="s">
        <v>40</v>
      </c>
      <c r="E198" s="1" t="s">
        <v>14</v>
      </c>
      <c r="F198" s="1" t="s">
        <v>41</v>
      </c>
      <c r="G198" s="1" t="s">
        <v>42</v>
      </c>
      <c r="H198" s="13">
        <v>3.2094117647058802</v>
      </c>
      <c r="I198" s="10">
        <v>0.100564705882353</v>
      </c>
      <c r="J198" s="13">
        <v>2.5929411764705899</v>
      </c>
      <c r="K198" s="10" t="s">
        <v>17</v>
      </c>
      <c r="L198" s="2" t="str">
        <f>_xlfn.XLOOKUP(D198,Products!A:A,Products!B:B)</f>
        <v>Office Chair</v>
      </c>
      <c r="M198" s="2" t="str">
        <f>_xlfn.XLOOKUP(D198,Products!A:A,Products!C:C)</f>
        <v>Furniture</v>
      </c>
      <c r="N198" s="2" t="str">
        <f>_xlfn.XLOOKUP(D198,Products!A:A,Products!D:D)</f>
        <v>Featherlite</v>
      </c>
      <c r="O198" s="2">
        <f>_xlfn.XLOOKUP(D198,Products!A:A,Products!E:E)</f>
        <v>4500</v>
      </c>
      <c r="P198" s="2">
        <f>_xlfn.XLOOKUP(D198,Products!A:A,Products!F:F)</f>
        <v>7500</v>
      </c>
      <c r="Q198" s="11">
        <f t="shared" si="15"/>
        <v>24070.588235294101</v>
      </c>
      <c r="R198" s="11">
        <f t="shared" si="16"/>
        <v>2420.6516262975774</v>
      </c>
      <c r="S198" s="11">
        <f t="shared" si="17"/>
        <v>21649.936608996522</v>
      </c>
      <c r="T198" s="11">
        <f t="shared" si="18"/>
        <v>14442.352941176461</v>
      </c>
      <c r="U198" s="11">
        <f t="shared" si="19"/>
        <v>7207.5836678200612</v>
      </c>
    </row>
    <row r="199" spans="1:21" x14ac:dyDescent="0.3">
      <c r="A199" s="1" t="s">
        <v>251</v>
      </c>
      <c r="B199" s="9">
        <v>46115</v>
      </c>
      <c r="C199" s="1" t="s">
        <v>36</v>
      </c>
      <c r="D199" s="1" t="s">
        <v>43</v>
      </c>
      <c r="E199" s="1" t="s">
        <v>44</v>
      </c>
      <c r="F199" s="1" t="s">
        <v>15</v>
      </c>
      <c r="G199" s="1" t="s">
        <v>23</v>
      </c>
      <c r="H199" s="13">
        <v>3.2129651860744302</v>
      </c>
      <c r="I199" s="10">
        <v>0.100712605042017</v>
      </c>
      <c r="J199" s="13">
        <v>2.58088835534214</v>
      </c>
      <c r="K199" s="10" t="s">
        <v>17</v>
      </c>
      <c r="L199" s="2" t="str">
        <f>_xlfn.XLOOKUP(D199,Products!A:A,Products!B:B)</f>
        <v>Smartphone</v>
      </c>
      <c r="M199" s="2" t="str">
        <f>_xlfn.XLOOKUP(D199,Products!A:A,Products!C:C)</f>
        <v>Electronics</v>
      </c>
      <c r="N199" s="2" t="str">
        <f>_xlfn.XLOOKUP(D199,Products!A:A,Products!D:D)</f>
        <v>Samsung</v>
      </c>
      <c r="O199" s="2">
        <f>_xlfn.XLOOKUP(D199,Products!A:A,Products!E:E)</f>
        <v>14000</v>
      </c>
      <c r="P199" s="2">
        <f>_xlfn.XLOOKUP(D199,Products!A:A,Products!F:F)</f>
        <v>22000</v>
      </c>
      <c r="Q199" s="11">
        <f t="shared" si="15"/>
        <v>70685.234093637468</v>
      </c>
      <c r="R199" s="11">
        <f t="shared" si="16"/>
        <v>7118.894063575025</v>
      </c>
      <c r="S199" s="11">
        <f t="shared" si="17"/>
        <v>63566.340030062442</v>
      </c>
      <c r="T199" s="11">
        <f t="shared" si="18"/>
        <v>44981.512605042022</v>
      </c>
      <c r="U199" s="11">
        <f t="shared" si="19"/>
        <v>18584.827425020419</v>
      </c>
    </row>
    <row r="200" spans="1:21" x14ac:dyDescent="0.3">
      <c r="A200" s="1" t="s">
        <v>252</v>
      </c>
      <c r="B200" s="9">
        <v>46116</v>
      </c>
      <c r="C200" s="1" t="s">
        <v>46</v>
      </c>
      <c r="D200" s="1" t="s">
        <v>47</v>
      </c>
      <c r="E200" s="1" t="s">
        <v>27</v>
      </c>
      <c r="F200" s="1" t="s">
        <v>22</v>
      </c>
      <c r="G200" s="1" t="s">
        <v>16</v>
      </c>
      <c r="H200" s="13">
        <v>3.2165186074429699</v>
      </c>
      <c r="I200" s="10">
        <v>0.10086050420168099</v>
      </c>
      <c r="J200" s="13">
        <v>2.5688355342136902</v>
      </c>
      <c r="K200" s="10" t="s">
        <v>48</v>
      </c>
      <c r="L200" s="2" t="str">
        <f>_xlfn.XLOOKUP(D200,Products!A:A,Products!B:B)</f>
        <v>Mixer Grinder</v>
      </c>
      <c r="M200" s="2" t="str">
        <f>_xlfn.XLOOKUP(D200,Products!A:A,Products!C:C)</f>
        <v>Home Appliances</v>
      </c>
      <c r="N200" s="2" t="str">
        <f>_xlfn.XLOOKUP(D200,Products!A:A,Products!D:D)</f>
        <v>Philips</v>
      </c>
      <c r="O200" s="2">
        <f>_xlfn.XLOOKUP(D200,Products!A:A,Products!E:E)</f>
        <v>2800</v>
      </c>
      <c r="P200" s="2">
        <f>_xlfn.XLOOKUP(D200,Products!A:A,Products!F:F)</f>
        <v>4800</v>
      </c>
      <c r="Q200" s="11">
        <f t="shared" si="15"/>
        <v>15439.289315726255</v>
      </c>
      <c r="R200" s="11">
        <f t="shared" si="16"/>
        <v>1557.2145048997766</v>
      </c>
      <c r="S200" s="11">
        <f t="shared" si="17"/>
        <v>13882.074810826478</v>
      </c>
      <c r="T200" s="11">
        <f t="shared" si="18"/>
        <v>9006.2521008403164</v>
      </c>
      <c r="U200" s="11">
        <f t="shared" si="19"/>
        <v>4875.8227099861615</v>
      </c>
    </row>
    <row r="201" spans="1:21" x14ac:dyDescent="0.3">
      <c r="A201" s="2" t="s">
        <v>253</v>
      </c>
      <c r="B201" s="6">
        <v>46116</v>
      </c>
      <c r="C201" s="2" t="s">
        <v>50</v>
      </c>
      <c r="D201" s="2" t="s">
        <v>51</v>
      </c>
      <c r="E201" s="2" t="s">
        <v>21</v>
      </c>
      <c r="F201" s="2" t="s">
        <v>52</v>
      </c>
      <c r="G201" s="2" t="s">
        <v>16</v>
      </c>
      <c r="H201" s="11">
        <v>3.2200720288115199</v>
      </c>
      <c r="I201" s="7">
        <v>0.10100840336134501</v>
      </c>
      <c r="J201" s="11">
        <v>2.5567827130852301</v>
      </c>
      <c r="K201" s="2" t="s">
        <v>17</v>
      </c>
      <c r="L201" s="2" t="str">
        <f>_xlfn.XLOOKUP(D201,Products!A:A,Products!B:B)</f>
        <v>Shirt</v>
      </c>
      <c r="M201" s="2" t="str">
        <f>_xlfn.XLOOKUP(D201,Products!A:A,Products!C:C)</f>
        <v>Clothing</v>
      </c>
      <c r="N201" s="2" t="str">
        <f>_xlfn.XLOOKUP(D201,Products!A:A,Products!D:D)</f>
        <v>Levis</v>
      </c>
      <c r="O201" s="2">
        <f>_xlfn.XLOOKUP(D201,Products!A:A,Products!E:E)</f>
        <v>700</v>
      </c>
      <c r="P201" s="2">
        <f>_xlfn.XLOOKUP(D201,Products!A:A,Products!F:F)</f>
        <v>1500</v>
      </c>
      <c r="Q201" s="11">
        <f t="shared" si="15"/>
        <v>4830.1080432172794</v>
      </c>
      <c r="R201" s="11">
        <f t="shared" si="16"/>
        <v>487.88150150816779</v>
      </c>
      <c r="S201" s="11">
        <f t="shared" si="17"/>
        <v>4342.2265417091112</v>
      </c>
      <c r="T201" s="11">
        <f t="shared" si="18"/>
        <v>2254.0504201680637</v>
      </c>
      <c r="U201" s="11">
        <f t="shared" si="19"/>
        <v>2088.1761215410475</v>
      </c>
    </row>
    <row r="202" spans="1:21" x14ac:dyDescent="0.3">
      <c r="A202" s="2" t="s">
        <v>254</v>
      </c>
      <c r="B202" s="6">
        <v>46117</v>
      </c>
      <c r="C202" s="2" t="s">
        <v>54</v>
      </c>
      <c r="D202" s="2" t="s">
        <v>55</v>
      </c>
      <c r="E202" s="2" t="s">
        <v>38</v>
      </c>
      <c r="F202" s="2" t="s">
        <v>15</v>
      </c>
      <c r="G202" s="2" t="s">
        <v>29</v>
      </c>
      <c r="H202" s="11">
        <v>3.2236254501800699</v>
      </c>
      <c r="I202" s="7">
        <v>0.101156302521008</v>
      </c>
      <c r="J202" s="11">
        <v>2.5447298919567798</v>
      </c>
      <c r="K202" s="2" t="s">
        <v>30</v>
      </c>
      <c r="L202" s="2" t="str">
        <f>_xlfn.XLOOKUP(D202,Products!A:A,Products!B:B)</f>
        <v>Sports Shoes</v>
      </c>
      <c r="M202" s="2" t="str">
        <f>_xlfn.XLOOKUP(D202,Products!A:A,Products!C:C)</f>
        <v>Sports</v>
      </c>
      <c r="N202" s="2" t="str">
        <f>_xlfn.XLOOKUP(D202,Products!A:A,Products!D:D)</f>
        <v>Nike</v>
      </c>
      <c r="O202" s="2">
        <f>_xlfn.XLOOKUP(D202,Products!A:A,Products!E:E)</f>
        <v>2200</v>
      </c>
      <c r="P202" s="2">
        <f>_xlfn.XLOOKUP(D202,Products!A:A,Products!F:F)</f>
        <v>4500</v>
      </c>
      <c r="Q202" s="11">
        <f t="shared" si="15"/>
        <v>14506.314525810314</v>
      </c>
      <c r="R202" s="11">
        <f t="shared" si="16"/>
        <v>1467.405140637761</v>
      </c>
      <c r="S202" s="11">
        <f t="shared" si="17"/>
        <v>13038.909385172554</v>
      </c>
      <c r="T202" s="11">
        <f t="shared" si="18"/>
        <v>7091.975990396154</v>
      </c>
      <c r="U202" s="11">
        <f t="shared" si="19"/>
        <v>5946.9333947763998</v>
      </c>
    </row>
    <row r="203" spans="1:21" x14ac:dyDescent="0.3">
      <c r="A203" s="2" t="s">
        <v>255</v>
      </c>
      <c r="B203" s="6">
        <v>46117</v>
      </c>
      <c r="C203" s="2" t="s">
        <v>57</v>
      </c>
      <c r="D203" s="2" t="s">
        <v>58</v>
      </c>
      <c r="E203" s="2" t="s">
        <v>44</v>
      </c>
      <c r="F203" s="2" t="s">
        <v>41</v>
      </c>
      <c r="G203" s="2" t="s">
        <v>23</v>
      </c>
      <c r="H203" s="11">
        <v>3.2271788715486198</v>
      </c>
      <c r="I203" s="7">
        <v>0.101304201680672</v>
      </c>
      <c r="J203" s="11">
        <v>2.5326770708283299</v>
      </c>
      <c r="K203" s="2" t="s">
        <v>17</v>
      </c>
      <c r="L203" s="2" t="str">
        <f>_xlfn.XLOOKUP(D203,Products!A:A,Products!B:B)</f>
        <v>Study Table</v>
      </c>
      <c r="M203" s="2" t="str">
        <f>_xlfn.XLOOKUP(D203,Products!A:A,Products!C:C)</f>
        <v>Furniture</v>
      </c>
      <c r="N203" s="2" t="str">
        <f>_xlfn.XLOOKUP(D203,Products!A:A,Products!D:D)</f>
        <v>Ikea</v>
      </c>
      <c r="O203" s="2">
        <f>_xlfn.XLOOKUP(D203,Products!A:A,Products!E:E)</f>
        <v>5000</v>
      </c>
      <c r="P203" s="2">
        <f>_xlfn.XLOOKUP(D203,Products!A:A,Products!F:F)</f>
        <v>8500</v>
      </c>
      <c r="Q203" s="11">
        <f t="shared" si="15"/>
        <v>27431.020408163269</v>
      </c>
      <c r="R203" s="11">
        <f t="shared" si="16"/>
        <v>2778.8776237352013</v>
      </c>
      <c r="S203" s="11">
        <f t="shared" si="17"/>
        <v>24652.14278442807</v>
      </c>
      <c r="T203" s="11">
        <f t="shared" si="18"/>
        <v>16135.894357743098</v>
      </c>
      <c r="U203" s="11">
        <f t="shared" si="19"/>
        <v>8516.2484266849715</v>
      </c>
    </row>
    <row r="204" spans="1:21" x14ac:dyDescent="0.3">
      <c r="A204" s="2" t="s">
        <v>256</v>
      </c>
      <c r="B204" s="6">
        <v>46118</v>
      </c>
      <c r="C204" s="2" t="s">
        <v>60</v>
      </c>
      <c r="D204" s="2" t="s">
        <v>13</v>
      </c>
      <c r="E204" s="2" t="s">
        <v>14</v>
      </c>
      <c r="F204" s="2" t="s">
        <v>22</v>
      </c>
      <c r="G204" s="2" t="s">
        <v>16</v>
      </c>
      <c r="H204" s="11">
        <v>3.23073229291716</v>
      </c>
      <c r="I204" s="7">
        <v>0.101452100840336</v>
      </c>
      <c r="J204" s="11">
        <v>2.5206242496998801</v>
      </c>
      <c r="K204" s="2" t="s">
        <v>17</v>
      </c>
      <c r="L204" s="2" t="str">
        <f>_xlfn.XLOOKUP(D204,Products!A:A,Products!B:B)</f>
        <v>Laptop</v>
      </c>
      <c r="M204" s="2" t="str">
        <f>_xlfn.XLOOKUP(D204,Products!A:A,Products!C:C)</f>
        <v>Electronics</v>
      </c>
      <c r="N204" s="2" t="str">
        <f>_xlfn.XLOOKUP(D204,Products!A:A,Products!D:D)</f>
        <v>HP</v>
      </c>
      <c r="O204" s="2">
        <f>_xlfn.XLOOKUP(D204,Products!A:A,Products!E:E)</f>
        <v>42000</v>
      </c>
      <c r="P204" s="2">
        <f>_xlfn.XLOOKUP(D204,Products!A:A,Products!F:F)</f>
        <v>55000</v>
      </c>
      <c r="Q204" s="11">
        <f t="shared" si="15"/>
        <v>177690.27611044381</v>
      </c>
      <c r="R204" s="11">
        <f t="shared" si="16"/>
        <v>18027.051810303892</v>
      </c>
      <c r="S204" s="11">
        <f t="shared" si="17"/>
        <v>159663.22430013993</v>
      </c>
      <c r="T204" s="11">
        <f t="shared" si="18"/>
        <v>135690.75630252072</v>
      </c>
      <c r="U204" s="11">
        <f t="shared" si="19"/>
        <v>23972.467997619213</v>
      </c>
    </row>
    <row r="205" spans="1:21" x14ac:dyDescent="0.3">
      <c r="A205" s="2" t="s">
        <v>257</v>
      </c>
      <c r="B205" s="6">
        <v>46118</v>
      </c>
      <c r="C205" s="2" t="s">
        <v>62</v>
      </c>
      <c r="D205" s="2" t="s">
        <v>26</v>
      </c>
      <c r="E205" s="2" t="s">
        <v>27</v>
      </c>
      <c r="F205" s="2" t="s">
        <v>15</v>
      </c>
      <c r="G205" s="2" t="s">
        <v>42</v>
      </c>
      <c r="H205" s="11">
        <v>3.23428571428571</v>
      </c>
      <c r="I205" s="7">
        <v>0.1016</v>
      </c>
      <c r="J205" s="11">
        <v>2.5085714285714298</v>
      </c>
      <c r="K205" s="2" t="s">
        <v>17</v>
      </c>
      <c r="L205" s="2" t="str">
        <f>_xlfn.XLOOKUP(D205,Products!A:A,Products!B:B)</f>
        <v>Face Wash</v>
      </c>
      <c r="M205" s="2" t="str">
        <f>_xlfn.XLOOKUP(D205,Products!A:A,Products!C:C)</f>
        <v>Beauty</v>
      </c>
      <c r="N205" s="2" t="str">
        <f>_xlfn.XLOOKUP(D205,Products!A:A,Products!D:D)</f>
        <v>Nivea</v>
      </c>
      <c r="O205" s="2">
        <f>_xlfn.XLOOKUP(D205,Products!A:A,Products!E:E)</f>
        <v>180</v>
      </c>
      <c r="P205" s="2">
        <f>_xlfn.XLOOKUP(D205,Products!A:A,Products!F:F)</f>
        <v>350</v>
      </c>
      <c r="Q205" s="11">
        <f t="shared" si="15"/>
        <v>1131.9999999999984</v>
      </c>
      <c r="R205" s="11">
        <f t="shared" si="16"/>
        <v>115.01119999999983</v>
      </c>
      <c r="S205" s="11">
        <f t="shared" si="17"/>
        <v>1016.9887999999986</v>
      </c>
      <c r="T205" s="11">
        <f t="shared" si="18"/>
        <v>582.17142857142778</v>
      </c>
      <c r="U205" s="11">
        <f t="shared" si="19"/>
        <v>434.81737142857082</v>
      </c>
    </row>
    <row r="206" spans="1:21" x14ac:dyDescent="0.3">
      <c r="A206" s="2" t="s">
        <v>258</v>
      </c>
      <c r="B206" s="6">
        <v>46119</v>
      </c>
      <c r="C206" s="2" t="s">
        <v>64</v>
      </c>
      <c r="D206" s="2" t="s">
        <v>20</v>
      </c>
      <c r="E206" s="2" t="s">
        <v>21</v>
      </c>
      <c r="F206" s="2" t="s">
        <v>39</v>
      </c>
      <c r="G206" s="2" t="s">
        <v>23</v>
      </c>
      <c r="H206" s="11">
        <v>3.23783913565426</v>
      </c>
      <c r="I206" s="7">
        <v>0.10174789915966399</v>
      </c>
      <c r="J206" s="11">
        <v>2.4965186074429799</v>
      </c>
      <c r="K206" s="2" t="s">
        <v>17</v>
      </c>
      <c r="L206" s="2" t="str">
        <f>_xlfn.XLOOKUP(D206,Products!A:A,Products!B:B)</f>
        <v>Jeans</v>
      </c>
      <c r="M206" s="2" t="str">
        <f>_xlfn.XLOOKUP(D206,Products!A:A,Products!C:C)</f>
        <v>Clothing</v>
      </c>
      <c r="N206" s="2" t="str">
        <f>_xlfn.XLOOKUP(D206,Products!A:A,Products!D:D)</f>
        <v>Wrangler</v>
      </c>
      <c r="O206" s="2">
        <f>_xlfn.XLOOKUP(D206,Products!A:A,Products!E:E)</f>
        <v>1100</v>
      </c>
      <c r="P206" s="2">
        <f>_xlfn.XLOOKUP(D206,Products!A:A,Products!F:F)</f>
        <v>2200</v>
      </c>
      <c r="Q206" s="11">
        <f t="shared" si="15"/>
        <v>7123.246098439372</v>
      </c>
      <c r="R206" s="11">
        <f t="shared" si="16"/>
        <v>724.77532571347922</v>
      </c>
      <c r="S206" s="11">
        <f t="shared" si="17"/>
        <v>6398.4707727258929</v>
      </c>
      <c r="T206" s="11">
        <f t="shared" si="18"/>
        <v>3561.623049219686</v>
      </c>
      <c r="U206" s="11">
        <f t="shared" si="19"/>
        <v>2836.8477235062069</v>
      </c>
    </row>
    <row r="207" spans="1:21" x14ac:dyDescent="0.3">
      <c r="A207" s="2" t="s">
        <v>259</v>
      </c>
      <c r="B207" s="6">
        <v>46119</v>
      </c>
      <c r="C207" s="2" t="s">
        <v>66</v>
      </c>
      <c r="D207" s="2" t="s">
        <v>37</v>
      </c>
      <c r="E207" s="2" t="s">
        <v>38</v>
      </c>
      <c r="F207" s="2" t="s">
        <v>15</v>
      </c>
      <c r="G207" s="2" t="s">
        <v>16</v>
      </c>
      <c r="H207" s="11">
        <v>3.2413925570228099</v>
      </c>
      <c r="I207" s="7">
        <v>0.101895798319328</v>
      </c>
      <c r="J207" s="11">
        <v>2.4844657863145301</v>
      </c>
      <c r="K207" s="2" t="s">
        <v>17</v>
      </c>
      <c r="L207" s="2" t="str">
        <f>_xlfn.XLOOKUP(D207,Products!A:A,Products!B:B)</f>
        <v>Headphones</v>
      </c>
      <c r="M207" s="2" t="str">
        <f>_xlfn.XLOOKUP(D207,Products!A:A,Products!C:C)</f>
        <v>Electronics</v>
      </c>
      <c r="N207" s="2" t="str">
        <f>_xlfn.XLOOKUP(D207,Products!A:A,Products!D:D)</f>
        <v>Sony</v>
      </c>
      <c r="O207" s="2">
        <f>_xlfn.XLOOKUP(D207,Products!A:A,Products!E:E)</f>
        <v>1800</v>
      </c>
      <c r="P207" s="2">
        <f>_xlfn.XLOOKUP(D207,Products!A:A,Products!F:F)</f>
        <v>3200</v>
      </c>
      <c r="Q207" s="11">
        <f t="shared" si="15"/>
        <v>10372.456182472992</v>
      </c>
      <c r="R207" s="11">
        <f t="shared" si="16"/>
        <v>1056.9097032453349</v>
      </c>
      <c r="S207" s="11">
        <f t="shared" si="17"/>
        <v>9315.5464792276562</v>
      </c>
      <c r="T207" s="11">
        <f t="shared" si="18"/>
        <v>5834.5066026410577</v>
      </c>
      <c r="U207" s="11">
        <f t="shared" si="19"/>
        <v>3481.0398765865984</v>
      </c>
    </row>
    <row r="208" spans="1:21" x14ac:dyDescent="0.3">
      <c r="A208" s="2" t="s">
        <v>260</v>
      </c>
      <c r="B208" s="6">
        <v>46120</v>
      </c>
      <c r="C208" s="2" t="s">
        <v>68</v>
      </c>
      <c r="D208" s="2" t="s">
        <v>40</v>
      </c>
      <c r="E208" s="2" t="s">
        <v>44</v>
      </c>
      <c r="F208" s="2" t="s">
        <v>22</v>
      </c>
      <c r="G208" s="2" t="s">
        <v>29</v>
      </c>
      <c r="H208" s="11">
        <v>3.2449459783913501</v>
      </c>
      <c r="I208" s="7">
        <v>0.102043697478992</v>
      </c>
      <c r="J208" s="11">
        <v>2.47241296518607</v>
      </c>
      <c r="K208" s="2" t="s">
        <v>30</v>
      </c>
      <c r="L208" s="2" t="str">
        <f>_xlfn.XLOOKUP(D208,Products!A:A,Products!B:B)</f>
        <v>Office Chair</v>
      </c>
      <c r="M208" s="2" t="str">
        <f>_xlfn.XLOOKUP(D208,Products!A:A,Products!C:C)</f>
        <v>Furniture</v>
      </c>
      <c r="N208" s="2" t="str">
        <f>_xlfn.XLOOKUP(D208,Products!A:A,Products!D:D)</f>
        <v>Featherlite</v>
      </c>
      <c r="O208" s="2">
        <f>_xlfn.XLOOKUP(D208,Products!A:A,Products!E:E)</f>
        <v>4500</v>
      </c>
      <c r="P208" s="2">
        <f>_xlfn.XLOOKUP(D208,Products!A:A,Products!F:F)</f>
        <v>7500</v>
      </c>
      <c r="Q208" s="11">
        <f t="shared" si="15"/>
        <v>24337.094837935125</v>
      </c>
      <c r="R208" s="11">
        <f t="shared" si="16"/>
        <v>2483.4471431597899</v>
      </c>
      <c r="S208" s="11">
        <f t="shared" si="17"/>
        <v>21853.647694775336</v>
      </c>
      <c r="T208" s="11">
        <f t="shared" si="18"/>
        <v>14602.256902761075</v>
      </c>
      <c r="U208" s="11">
        <f t="shared" si="19"/>
        <v>7251.390792014261</v>
      </c>
    </row>
    <row r="209" spans="1:21" x14ac:dyDescent="0.3">
      <c r="A209" s="2" t="s">
        <v>261</v>
      </c>
      <c r="B209" s="6">
        <v>46120</v>
      </c>
      <c r="C209" s="2" t="s">
        <v>12</v>
      </c>
      <c r="D209" s="2" t="s">
        <v>43</v>
      </c>
      <c r="E209" s="2" t="s">
        <v>14</v>
      </c>
      <c r="F209" s="2" t="s">
        <v>15</v>
      </c>
      <c r="G209" s="2" t="s">
        <v>16</v>
      </c>
      <c r="H209" s="11">
        <v>3.2484993997599001</v>
      </c>
      <c r="I209" s="7">
        <v>0.102191596638655</v>
      </c>
      <c r="J209" s="11">
        <v>2.4603601440576202</v>
      </c>
      <c r="K209" s="2" t="s">
        <v>17</v>
      </c>
      <c r="L209" s="2" t="str">
        <f>_xlfn.XLOOKUP(D209,Products!A:A,Products!B:B)</f>
        <v>Smartphone</v>
      </c>
      <c r="M209" s="2" t="str">
        <f>_xlfn.XLOOKUP(D209,Products!A:A,Products!C:C)</f>
        <v>Electronics</v>
      </c>
      <c r="N209" s="2" t="str">
        <f>_xlfn.XLOOKUP(D209,Products!A:A,Products!D:D)</f>
        <v>Samsung</v>
      </c>
      <c r="O209" s="2">
        <f>_xlfn.XLOOKUP(D209,Products!A:A,Products!E:E)</f>
        <v>14000</v>
      </c>
      <c r="P209" s="2">
        <f>_xlfn.XLOOKUP(D209,Products!A:A,Products!F:F)</f>
        <v>22000</v>
      </c>
      <c r="Q209" s="11">
        <f t="shared" si="15"/>
        <v>71466.986794717799</v>
      </c>
      <c r="R209" s="11">
        <f t="shared" si="16"/>
        <v>7303.3254875058847</v>
      </c>
      <c r="S209" s="11">
        <f t="shared" si="17"/>
        <v>64163.661307211914</v>
      </c>
      <c r="T209" s="11">
        <f t="shared" si="18"/>
        <v>45478.991596638603</v>
      </c>
      <c r="U209" s="11">
        <f t="shared" si="19"/>
        <v>18684.669710573311</v>
      </c>
    </row>
    <row r="210" spans="1:21" x14ac:dyDescent="0.3">
      <c r="A210" s="2" t="s">
        <v>262</v>
      </c>
      <c r="B210" s="6">
        <v>46121</v>
      </c>
      <c r="C210" s="2" t="s">
        <v>19</v>
      </c>
      <c r="D210" s="2" t="s">
        <v>47</v>
      </c>
      <c r="E210" s="2" t="s">
        <v>27</v>
      </c>
      <c r="F210" s="2" t="s">
        <v>41</v>
      </c>
      <c r="G210" s="2" t="s">
        <v>23</v>
      </c>
      <c r="H210" s="11">
        <v>3.2520528211284501</v>
      </c>
      <c r="I210" s="7">
        <v>0.102339495798319</v>
      </c>
      <c r="J210" s="11">
        <v>2.4483073229291699</v>
      </c>
      <c r="K210" s="2" t="s">
        <v>17</v>
      </c>
      <c r="L210" s="2" t="str">
        <f>_xlfn.XLOOKUP(D210,Products!A:A,Products!B:B)</f>
        <v>Mixer Grinder</v>
      </c>
      <c r="M210" s="2" t="str">
        <f>_xlfn.XLOOKUP(D210,Products!A:A,Products!C:C)</f>
        <v>Home Appliances</v>
      </c>
      <c r="N210" s="2" t="str">
        <f>_xlfn.XLOOKUP(D210,Products!A:A,Products!D:D)</f>
        <v>Philips</v>
      </c>
      <c r="O210" s="2">
        <f>_xlfn.XLOOKUP(D210,Products!A:A,Products!E:E)</f>
        <v>2800</v>
      </c>
      <c r="P210" s="2">
        <f>_xlfn.XLOOKUP(D210,Products!A:A,Products!F:F)</f>
        <v>4800</v>
      </c>
      <c r="Q210" s="11">
        <f t="shared" si="15"/>
        <v>15609.85354141656</v>
      </c>
      <c r="R210" s="11">
        <f t="shared" si="16"/>
        <v>1597.5045409141749</v>
      </c>
      <c r="S210" s="11">
        <f t="shared" si="17"/>
        <v>14012.349000502385</v>
      </c>
      <c r="T210" s="11">
        <f t="shared" si="18"/>
        <v>9105.7478991596599</v>
      </c>
      <c r="U210" s="11">
        <f t="shared" si="19"/>
        <v>4906.6011013427251</v>
      </c>
    </row>
    <row r="211" spans="1:21" x14ac:dyDescent="0.3">
      <c r="A211" s="2" t="s">
        <v>263</v>
      </c>
      <c r="B211" s="6">
        <v>46121</v>
      </c>
      <c r="C211" s="2" t="s">
        <v>25</v>
      </c>
      <c r="D211" s="2" t="s">
        <v>51</v>
      </c>
      <c r="E211" s="2" t="s">
        <v>21</v>
      </c>
      <c r="F211" s="2" t="s">
        <v>52</v>
      </c>
      <c r="G211" s="2" t="s">
        <v>29</v>
      </c>
      <c r="H211" s="11">
        <v>3.255606242497</v>
      </c>
      <c r="I211" s="7">
        <v>0.10248739495798299</v>
      </c>
      <c r="J211" s="11">
        <v>2.43625450180072</v>
      </c>
      <c r="K211" s="2" t="s">
        <v>30</v>
      </c>
      <c r="L211" s="2" t="str">
        <f>_xlfn.XLOOKUP(D211,Products!A:A,Products!B:B)</f>
        <v>Shirt</v>
      </c>
      <c r="M211" s="2" t="str">
        <f>_xlfn.XLOOKUP(D211,Products!A:A,Products!C:C)</f>
        <v>Clothing</v>
      </c>
      <c r="N211" s="2" t="str">
        <f>_xlfn.XLOOKUP(D211,Products!A:A,Products!D:D)</f>
        <v>Levis</v>
      </c>
      <c r="O211" s="2">
        <f>_xlfn.XLOOKUP(D211,Products!A:A,Products!E:E)</f>
        <v>700</v>
      </c>
      <c r="P211" s="2">
        <f>_xlfn.XLOOKUP(D211,Products!A:A,Products!F:F)</f>
        <v>1500</v>
      </c>
      <c r="Q211" s="11">
        <f t="shared" si="15"/>
        <v>4883.4093637454998</v>
      </c>
      <c r="R211" s="11">
        <f t="shared" si="16"/>
        <v>500.4879042036975</v>
      </c>
      <c r="S211" s="11">
        <f t="shared" si="17"/>
        <v>4382.9214595418025</v>
      </c>
      <c r="T211" s="11">
        <f t="shared" si="18"/>
        <v>2278.9243697479001</v>
      </c>
      <c r="U211" s="11">
        <f t="shared" si="19"/>
        <v>2103.9970897939024</v>
      </c>
    </row>
    <row r="212" spans="1:21" x14ac:dyDescent="0.3">
      <c r="A212" s="2" t="s">
        <v>264</v>
      </c>
      <c r="B212" s="6">
        <v>46122</v>
      </c>
      <c r="C212" s="2" t="s">
        <v>32</v>
      </c>
      <c r="D212" s="2" t="s">
        <v>55</v>
      </c>
      <c r="E212" s="2" t="s">
        <v>38</v>
      </c>
      <c r="F212" s="2" t="s">
        <v>22</v>
      </c>
      <c r="G212" s="2" t="s">
        <v>16</v>
      </c>
      <c r="H212" s="11">
        <v>3.2591596638655398</v>
      </c>
      <c r="I212" s="7">
        <v>0.10263529411764701</v>
      </c>
      <c r="J212" s="11">
        <v>2.4242016806722702</v>
      </c>
      <c r="K212" s="2" t="s">
        <v>17</v>
      </c>
      <c r="L212" s="2" t="str">
        <f>_xlfn.XLOOKUP(D212,Products!A:A,Products!B:B)</f>
        <v>Sports Shoes</v>
      </c>
      <c r="M212" s="2" t="str">
        <f>_xlfn.XLOOKUP(D212,Products!A:A,Products!C:C)</f>
        <v>Sports</v>
      </c>
      <c r="N212" s="2" t="str">
        <f>_xlfn.XLOOKUP(D212,Products!A:A,Products!D:D)</f>
        <v>Nike</v>
      </c>
      <c r="O212" s="2">
        <f>_xlfn.XLOOKUP(D212,Products!A:A,Products!E:E)</f>
        <v>2200</v>
      </c>
      <c r="P212" s="2">
        <f>_xlfn.XLOOKUP(D212,Products!A:A,Products!F:F)</f>
        <v>4500</v>
      </c>
      <c r="Q212" s="11">
        <f t="shared" si="15"/>
        <v>14666.218487394928</v>
      </c>
      <c r="R212" s="11">
        <f t="shared" si="16"/>
        <v>1505.2716480474505</v>
      </c>
      <c r="S212" s="11">
        <f t="shared" si="17"/>
        <v>13160.946839347478</v>
      </c>
      <c r="T212" s="11">
        <f t="shared" si="18"/>
        <v>7170.1512605041871</v>
      </c>
      <c r="U212" s="11">
        <f t="shared" si="19"/>
        <v>5990.795578843291</v>
      </c>
    </row>
    <row r="213" spans="1:21" x14ac:dyDescent="0.3">
      <c r="A213" s="2" t="s">
        <v>265</v>
      </c>
      <c r="B213" s="6">
        <v>46122</v>
      </c>
      <c r="C213" s="2" t="s">
        <v>34</v>
      </c>
      <c r="D213" s="2" t="s">
        <v>58</v>
      </c>
      <c r="E213" s="2" t="s">
        <v>44</v>
      </c>
      <c r="F213" s="2" t="s">
        <v>15</v>
      </c>
      <c r="G213" s="2" t="s">
        <v>23</v>
      </c>
      <c r="H213" s="11">
        <v>3.2627130852340902</v>
      </c>
      <c r="I213" s="7">
        <v>0.102783193277311</v>
      </c>
      <c r="J213" s="11">
        <v>2.4121488595438199</v>
      </c>
      <c r="K213" s="2" t="s">
        <v>17</v>
      </c>
      <c r="L213" s="2" t="str">
        <f>_xlfn.XLOOKUP(D213,Products!A:A,Products!B:B)</f>
        <v>Study Table</v>
      </c>
      <c r="M213" s="2" t="str">
        <f>_xlfn.XLOOKUP(D213,Products!A:A,Products!C:C)</f>
        <v>Furniture</v>
      </c>
      <c r="N213" s="2" t="str">
        <f>_xlfn.XLOOKUP(D213,Products!A:A,Products!D:D)</f>
        <v>Ikea</v>
      </c>
      <c r="O213" s="2">
        <f>_xlfn.XLOOKUP(D213,Products!A:A,Products!E:E)</f>
        <v>5000</v>
      </c>
      <c r="P213" s="2">
        <f>_xlfn.XLOOKUP(D213,Products!A:A,Products!F:F)</f>
        <v>8500</v>
      </c>
      <c r="Q213" s="11">
        <f t="shared" si="15"/>
        <v>27733.061224489767</v>
      </c>
      <c r="R213" s="11">
        <f t="shared" si="16"/>
        <v>2850.492592008231</v>
      </c>
      <c r="S213" s="11">
        <f t="shared" si="17"/>
        <v>24882.568632481536</v>
      </c>
      <c r="T213" s="11">
        <f t="shared" si="18"/>
        <v>16313.565426170451</v>
      </c>
      <c r="U213" s="11">
        <f t="shared" si="19"/>
        <v>8569.0032063110848</v>
      </c>
    </row>
    <row r="214" spans="1:21" x14ac:dyDescent="0.3">
      <c r="A214" s="2" t="s">
        <v>266</v>
      </c>
      <c r="B214" s="6">
        <v>46123</v>
      </c>
      <c r="C214" s="2" t="s">
        <v>36</v>
      </c>
      <c r="D214" s="2" t="s">
        <v>13</v>
      </c>
      <c r="E214" s="2" t="s">
        <v>14</v>
      </c>
      <c r="F214" s="2" t="s">
        <v>39</v>
      </c>
      <c r="G214" s="2" t="s">
        <v>16</v>
      </c>
      <c r="H214" s="11">
        <v>3.2662665066026402</v>
      </c>
      <c r="I214" s="7">
        <v>0.102931092436975</v>
      </c>
      <c r="J214" s="11">
        <v>2.40009603841537</v>
      </c>
      <c r="K214" s="2" t="s">
        <v>17</v>
      </c>
      <c r="L214" s="2" t="str">
        <f>_xlfn.XLOOKUP(D214,Products!A:A,Products!B:B)</f>
        <v>Laptop</v>
      </c>
      <c r="M214" s="2" t="str">
        <f>_xlfn.XLOOKUP(D214,Products!A:A,Products!C:C)</f>
        <v>Electronics</v>
      </c>
      <c r="N214" s="2" t="str">
        <f>_xlfn.XLOOKUP(D214,Products!A:A,Products!D:D)</f>
        <v>HP</v>
      </c>
      <c r="O214" s="2">
        <f>_xlfn.XLOOKUP(D214,Products!A:A,Products!E:E)</f>
        <v>42000</v>
      </c>
      <c r="P214" s="2">
        <f>_xlfn.XLOOKUP(D214,Products!A:A,Products!F:F)</f>
        <v>55000</v>
      </c>
      <c r="Q214" s="11">
        <f t="shared" si="15"/>
        <v>179644.6578631452</v>
      </c>
      <c r="R214" s="11">
        <f t="shared" si="16"/>
        <v>18491.020884320147</v>
      </c>
      <c r="S214" s="11">
        <f t="shared" si="17"/>
        <v>161153.63697882506</v>
      </c>
      <c r="T214" s="11">
        <f t="shared" si="18"/>
        <v>137183.1932773109</v>
      </c>
      <c r="U214" s="11">
        <f t="shared" si="19"/>
        <v>23970.443701514159</v>
      </c>
    </row>
    <row r="215" spans="1:21" x14ac:dyDescent="0.3">
      <c r="A215" s="2" t="s">
        <v>267</v>
      </c>
      <c r="B215" s="6">
        <v>46123</v>
      </c>
      <c r="C215" s="2" t="s">
        <v>46</v>
      </c>
      <c r="D215" s="2" t="s">
        <v>20</v>
      </c>
      <c r="E215" s="2" t="s">
        <v>27</v>
      </c>
      <c r="F215" s="2" t="s">
        <v>15</v>
      </c>
      <c r="G215" s="2" t="s">
        <v>29</v>
      </c>
      <c r="H215" s="11">
        <v>3.2698199279711901</v>
      </c>
      <c r="I215" s="7">
        <v>0.103078991596639</v>
      </c>
      <c r="J215" s="11">
        <v>2.3880432172869099</v>
      </c>
      <c r="K215" s="2" t="s">
        <v>17</v>
      </c>
      <c r="L215" s="2" t="str">
        <f>_xlfn.XLOOKUP(D215,Products!A:A,Products!B:B)</f>
        <v>Jeans</v>
      </c>
      <c r="M215" s="2" t="str">
        <f>_xlfn.XLOOKUP(D215,Products!A:A,Products!C:C)</f>
        <v>Clothing</v>
      </c>
      <c r="N215" s="2" t="str">
        <f>_xlfn.XLOOKUP(D215,Products!A:A,Products!D:D)</f>
        <v>Wrangler</v>
      </c>
      <c r="O215" s="2">
        <f>_xlfn.XLOOKUP(D215,Products!A:A,Products!E:E)</f>
        <v>1100</v>
      </c>
      <c r="P215" s="2">
        <f>_xlfn.XLOOKUP(D215,Products!A:A,Products!F:F)</f>
        <v>2200</v>
      </c>
      <c r="Q215" s="11">
        <f t="shared" si="15"/>
        <v>7193.6038415366183</v>
      </c>
      <c r="R215" s="11">
        <f t="shared" si="16"/>
        <v>741.50942993130309</v>
      </c>
      <c r="S215" s="11">
        <f t="shared" si="17"/>
        <v>6452.0944116053151</v>
      </c>
      <c r="T215" s="11">
        <f t="shared" si="18"/>
        <v>3596.8019207683092</v>
      </c>
      <c r="U215" s="11">
        <f t="shared" si="19"/>
        <v>2855.292490837006</v>
      </c>
    </row>
    <row r="216" spans="1:21" x14ac:dyDescent="0.3">
      <c r="A216" s="2" t="s">
        <v>268</v>
      </c>
      <c r="B216" s="6">
        <v>46124</v>
      </c>
      <c r="C216" s="2" t="s">
        <v>50</v>
      </c>
      <c r="D216" s="2" t="s">
        <v>26</v>
      </c>
      <c r="E216" s="2" t="s">
        <v>21</v>
      </c>
      <c r="F216" s="2" t="s">
        <v>41</v>
      </c>
      <c r="G216" s="2" t="s">
        <v>23</v>
      </c>
      <c r="H216" s="11">
        <v>3.2733733493397299</v>
      </c>
      <c r="I216" s="7">
        <v>0.10322689075630299</v>
      </c>
      <c r="J216" s="11">
        <v>2.3759903961584601</v>
      </c>
      <c r="K216" s="2" t="s">
        <v>17</v>
      </c>
      <c r="L216" s="2" t="str">
        <f>_xlfn.XLOOKUP(D216,Products!A:A,Products!B:B)</f>
        <v>Face Wash</v>
      </c>
      <c r="M216" s="2" t="str">
        <f>_xlfn.XLOOKUP(D216,Products!A:A,Products!C:C)</f>
        <v>Beauty</v>
      </c>
      <c r="N216" s="2" t="str">
        <f>_xlfn.XLOOKUP(D216,Products!A:A,Products!D:D)</f>
        <v>Nivea</v>
      </c>
      <c r="O216" s="2">
        <f>_xlfn.XLOOKUP(D216,Products!A:A,Products!E:E)</f>
        <v>180</v>
      </c>
      <c r="P216" s="2">
        <f>_xlfn.XLOOKUP(D216,Products!A:A,Products!F:F)</f>
        <v>350</v>
      </c>
      <c r="Q216" s="11">
        <f t="shared" si="15"/>
        <v>1145.6806722689055</v>
      </c>
      <c r="R216" s="11">
        <f t="shared" si="16"/>
        <v>118.26505359791008</v>
      </c>
      <c r="S216" s="11">
        <f t="shared" si="17"/>
        <v>1027.4156186709954</v>
      </c>
      <c r="T216" s="11">
        <f t="shared" si="18"/>
        <v>589.20720288115137</v>
      </c>
      <c r="U216" s="11">
        <f t="shared" si="19"/>
        <v>438.20841578984403</v>
      </c>
    </row>
    <row r="217" spans="1:21" x14ac:dyDescent="0.3">
      <c r="A217" s="2" t="s">
        <v>269</v>
      </c>
      <c r="B217" s="6">
        <v>46124</v>
      </c>
      <c r="C217" s="2" t="s">
        <v>54</v>
      </c>
      <c r="D217" s="2" t="s">
        <v>37</v>
      </c>
      <c r="E217" s="2" t="s">
        <v>38</v>
      </c>
      <c r="F217" s="2" t="s">
        <v>22</v>
      </c>
      <c r="G217" s="2" t="s">
        <v>16</v>
      </c>
      <c r="H217" s="11">
        <v>3.2769267707082799</v>
      </c>
      <c r="I217" s="7">
        <v>0.10337478991596601</v>
      </c>
      <c r="J217" s="11">
        <v>2.3639375750300098</v>
      </c>
      <c r="K217" s="2" t="s">
        <v>30</v>
      </c>
      <c r="L217" s="2" t="str">
        <f>_xlfn.XLOOKUP(D217,Products!A:A,Products!B:B)</f>
        <v>Headphones</v>
      </c>
      <c r="M217" s="2" t="str">
        <f>_xlfn.XLOOKUP(D217,Products!A:A,Products!C:C)</f>
        <v>Electronics</v>
      </c>
      <c r="N217" s="2" t="str">
        <f>_xlfn.XLOOKUP(D217,Products!A:A,Products!D:D)</f>
        <v>Sony</v>
      </c>
      <c r="O217" s="2">
        <f>_xlfn.XLOOKUP(D217,Products!A:A,Products!E:E)</f>
        <v>1800</v>
      </c>
      <c r="P217" s="2">
        <f>_xlfn.XLOOKUP(D217,Products!A:A,Products!F:F)</f>
        <v>3200</v>
      </c>
      <c r="Q217" s="11">
        <f t="shared" si="15"/>
        <v>10486.165666266495</v>
      </c>
      <c r="R217" s="11">
        <f t="shared" si="16"/>
        <v>1084.0051727743146</v>
      </c>
      <c r="S217" s="11">
        <f t="shared" si="17"/>
        <v>9402.1604934921816</v>
      </c>
      <c r="T217" s="11">
        <f t="shared" si="18"/>
        <v>5898.4681872749034</v>
      </c>
      <c r="U217" s="11">
        <f t="shared" si="19"/>
        <v>3503.6923062172782</v>
      </c>
    </row>
    <row r="218" spans="1:21" x14ac:dyDescent="0.3">
      <c r="A218" s="2" t="s">
        <v>270</v>
      </c>
      <c r="B218" s="6">
        <v>46125</v>
      </c>
      <c r="C218" s="2" t="s">
        <v>57</v>
      </c>
      <c r="D218" s="2" t="s">
        <v>40</v>
      </c>
      <c r="E218" s="2" t="s">
        <v>44</v>
      </c>
      <c r="F218" s="2" t="s">
        <v>15</v>
      </c>
      <c r="G218" s="2" t="s">
        <v>42</v>
      </c>
      <c r="H218" s="11">
        <v>3.2804801920768298</v>
      </c>
      <c r="I218" s="7">
        <v>0.10352268907563</v>
      </c>
      <c r="J218" s="11">
        <v>2.3518847539015599</v>
      </c>
      <c r="K218" s="2" t="s">
        <v>17</v>
      </c>
      <c r="L218" s="2" t="str">
        <f>_xlfn.XLOOKUP(D218,Products!A:A,Products!B:B)</f>
        <v>Office Chair</v>
      </c>
      <c r="M218" s="2" t="str">
        <f>_xlfn.XLOOKUP(D218,Products!A:A,Products!C:C)</f>
        <v>Furniture</v>
      </c>
      <c r="N218" s="2" t="str">
        <f>_xlfn.XLOOKUP(D218,Products!A:A,Products!D:D)</f>
        <v>Featherlite</v>
      </c>
      <c r="O218" s="2">
        <f>_xlfn.XLOOKUP(D218,Products!A:A,Products!E:E)</f>
        <v>4500</v>
      </c>
      <c r="P218" s="2">
        <f>_xlfn.XLOOKUP(D218,Products!A:A,Products!F:F)</f>
        <v>7500</v>
      </c>
      <c r="Q218" s="11">
        <f t="shared" si="15"/>
        <v>24603.601440576225</v>
      </c>
      <c r="R218" s="11">
        <f t="shared" si="16"/>
        <v>2547.0309820734951</v>
      </c>
      <c r="S218" s="11">
        <f t="shared" si="17"/>
        <v>22056.570458502731</v>
      </c>
      <c r="T218" s="11">
        <f t="shared" si="18"/>
        <v>14762.160864345735</v>
      </c>
      <c r="U218" s="11">
        <f t="shared" si="19"/>
        <v>7294.4095941569958</v>
      </c>
    </row>
    <row r="219" spans="1:21" x14ac:dyDescent="0.3">
      <c r="A219" s="2" t="s">
        <v>271</v>
      </c>
      <c r="B219" s="6">
        <v>46125</v>
      </c>
      <c r="C219" s="2" t="s">
        <v>60</v>
      </c>
      <c r="D219" s="2" t="s">
        <v>47</v>
      </c>
      <c r="E219" s="2" t="s">
        <v>14</v>
      </c>
      <c r="F219" s="2" t="s">
        <v>52</v>
      </c>
      <c r="G219" s="2" t="s">
        <v>16</v>
      </c>
      <c r="H219" s="11">
        <v>3.28403361344537</v>
      </c>
      <c r="I219" s="7">
        <v>0.103670588235294</v>
      </c>
      <c r="J219" s="11">
        <v>2.3398319327731101</v>
      </c>
      <c r="K219" s="2" t="s">
        <v>17</v>
      </c>
      <c r="L219" s="2" t="str">
        <f>_xlfn.XLOOKUP(D219,Products!A:A,Products!B:B)</f>
        <v>Mixer Grinder</v>
      </c>
      <c r="M219" s="2" t="str">
        <f>_xlfn.XLOOKUP(D219,Products!A:A,Products!C:C)</f>
        <v>Home Appliances</v>
      </c>
      <c r="N219" s="2" t="str">
        <f>_xlfn.XLOOKUP(D219,Products!A:A,Products!D:D)</f>
        <v>Philips</v>
      </c>
      <c r="O219" s="2">
        <f>_xlfn.XLOOKUP(D219,Products!A:A,Products!E:E)</f>
        <v>2800</v>
      </c>
      <c r="P219" s="2">
        <f>_xlfn.XLOOKUP(D219,Products!A:A,Products!F:F)</f>
        <v>4800</v>
      </c>
      <c r="Q219" s="11">
        <f t="shared" si="15"/>
        <v>15763.361344537776</v>
      </c>
      <c r="R219" s="11">
        <f t="shared" si="16"/>
        <v>1634.1969431537261</v>
      </c>
      <c r="S219" s="11">
        <f t="shared" si="17"/>
        <v>14129.164401384051</v>
      </c>
      <c r="T219" s="11">
        <f t="shared" si="18"/>
        <v>9195.2941176470358</v>
      </c>
      <c r="U219" s="11">
        <f t="shared" si="19"/>
        <v>4933.8702837370147</v>
      </c>
    </row>
    <row r="220" spans="1:21" x14ac:dyDescent="0.3">
      <c r="A220" s="2" t="s">
        <v>272</v>
      </c>
      <c r="B220" s="6">
        <v>46126</v>
      </c>
      <c r="C220" s="2" t="s">
        <v>62</v>
      </c>
      <c r="D220" s="2" t="s">
        <v>43</v>
      </c>
      <c r="E220" s="2" t="s">
        <v>27</v>
      </c>
      <c r="F220" s="2" t="s">
        <v>22</v>
      </c>
      <c r="G220" s="2" t="s">
        <v>23</v>
      </c>
      <c r="H220" s="11">
        <v>3.28758703481392</v>
      </c>
      <c r="I220" s="7">
        <v>0.103818487394958</v>
      </c>
      <c r="J220" s="11">
        <v>2.3277791116446598</v>
      </c>
      <c r="K220" s="2" t="s">
        <v>17</v>
      </c>
      <c r="L220" s="2" t="str">
        <f>_xlfn.XLOOKUP(D220,Products!A:A,Products!B:B)</f>
        <v>Smartphone</v>
      </c>
      <c r="M220" s="2" t="str">
        <f>_xlfn.XLOOKUP(D220,Products!A:A,Products!C:C)</f>
        <v>Electronics</v>
      </c>
      <c r="N220" s="2" t="str">
        <f>_xlfn.XLOOKUP(D220,Products!A:A,Products!D:D)</f>
        <v>Samsung</v>
      </c>
      <c r="O220" s="2">
        <f>_xlfn.XLOOKUP(D220,Products!A:A,Products!E:E)</f>
        <v>14000</v>
      </c>
      <c r="P220" s="2">
        <f>_xlfn.XLOOKUP(D220,Products!A:A,Products!F:F)</f>
        <v>22000</v>
      </c>
      <c r="Q220" s="11">
        <f t="shared" si="15"/>
        <v>72326.914765906244</v>
      </c>
      <c r="R220" s="11">
        <f t="shared" si="16"/>
        <v>7508.8708889404388</v>
      </c>
      <c r="S220" s="11">
        <f t="shared" si="17"/>
        <v>64818.043876965807</v>
      </c>
      <c r="T220" s="11">
        <f t="shared" si="18"/>
        <v>46026.218487394879</v>
      </c>
      <c r="U220" s="11">
        <f t="shared" si="19"/>
        <v>18791.825389570928</v>
      </c>
    </row>
    <row r="221" spans="1:21" x14ac:dyDescent="0.3">
      <c r="A221" s="2" t="s">
        <v>273</v>
      </c>
      <c r="B221" s="6">
        <v>46126</v>
      </c>
      <c r="C221" s="2" t="s">
        <v>64</v>
      </c>
      <c r="D221" s="2" t="s">
        <v>51</v>
      </c>
      <c r="E221" s="2" t="s">
        <v>21</v>
      </c>
      <c r="F221" s="2" t="s">
        <v>15</v>
      </c>
      <c r="G221" s="2" t="s">
        <v>29</v>
      </c>
      <c r="H221" s="11">
        <v>3.29114045618247</v>
      </c>
      <c r="I221" s="7">
        <v>0.103966386554622</v>
      </c>
      <c r="J221" s="11">
        <v>2.3157262905162099</v>
      </c>
      <c r="K221" s="2" t="s">
        <v>48</v>
      </c>
      <c r="L221" s="2" t="str">
        <f>_xlfn.XLOOKUP(D221,Products!A:A,Products!B:B)</f>
        <v>Shirt</v>
      </c>
      <c r="M221" s="2" t="str">
        <f>_xlfn.XLOOKUP(D221,Products!A:A,Products!C:C)</f>
        <v>Clothing</v>
      </c>
      <c r="N221" s="2" t="str">
        <f>_xlfn.XLOOKUP(D221,Products!A:A,Products!D:D)</f>
        <v>Levis</v>
      </c>
      <c r="O221" s="2">
        <f>_xlfn.XLOOKUP(D221,Products!A:A,Products!E:E)</f>
        <v>700</v>
      </c>
      <c r="P221" s="2">
        <f>_xlfn.XLOOKUP(D221,Products!A:A,Products!F:F)</f>
        <v>1500</v>
      </c>
      <c r="Q221" s="11">
        <f t="shared" si="15"/>
        <v>4936.7106842737048</v>
      </c>
      <c r="R221" s="11">
        <f t="shared" si="16"/>
        <v>513.25197130953245</v>
      </c>
      <c r="S221" s="11">
        <f t="shared" si="17"/>
        <v>4423.4587129641723</v>
      </c>
      <c r="T221" s="11">
        <f t="shared" si="18"/>
        <v>2303.7983193277291</v>
      </c>
      <c r="U221" s="11">
        <f t="shared" si="19"/>
        <v>2119.6603936364431</v>
      </c>
    </row>
    <row r="222" spans="1:21" x14ac:dyDescent="0.3">
      <c r="A222" s="2" t="s">
        <v>274</v>
      </c>
      <c r="B222" s="6">
        <v>46127</v>
      </c>
      <c r="C222" s="2" t="s">
        <v>66</v>
      </c>
      <c r="D222" s="2" t="s">
        <v>55</v>
      </c>
      <c r="E222" s="2" t="s">
        <v>38</v>
      </c>
      <c r="F222" s="2" t="s">
        <v>39</v>
      </c>
      <c r="G222" s="2" t="s">
        <v>16</v>
      </c>
      <c r="H222" s="11">
        <v>3.2946938775510199</v>
      </c>
      <c r="I222" s="7">
        <v>0.10411428571428601</v>
      </c>
      <c r="J222" s="11">
        <v>2.3036734693877499</v>
      </c>
      <c r="K222" s="2" t="s">
        <v>17</v>
      </c>
      <c r="L222" s="2" t="str">
        <f>_xlfn.XLOOKUP(D222,Products!A:A,Products!B:B)</f>
        <v>Sports Shoes</v>
      </c>
      <c r="M222" s="2" t="str">
        <f>_xlfn.XLOOKUP(D222,Products!A:A,Products!C:C)</f>
        <v>Sports</v>
      </c>
      <c r="N222" s="2" t="str">
        <f>_xlfn.XLOOKUP(D222,Products!A:A,Products!D:D)</f>
        <v>Nike</v>
      </c>
      <c r="O222" s="2">
        <f>_xlfn.XLOOKUP(D222,Products!A:A,Products!E:E)</f>
        <v>2200</v>
      </c>
      <c r="P222" s="2">
        <f>_xlfn.XLOOKUP(D222,Products!A:A,Products!F:F)</f>
        <v>4500</v>
      </c>
      <c r="Q222" s="11">
        <f t="shared" si="15"/>
        <v>14826.12244897959</v>
      </c>
      <c r="R222" s="11">
        <f t="shared" si="16"/>
        <v>1543.6111486880507</v>
      </c>
      <c r="S222" s="11">
        <f t="shared" si="17"/>
        <v>13282.511300291539</v>
      </c>
      <c r="T222" s="11">
        <f t="shared" si="18"/>
        <v>7248.3265306122439</v>
      </c>
      <c r="U222" s="11">
        <f t="shared" si="19"/>
        <v>6034.1847696792947</v>
      </c>
    </row>
    <row r="223" spans="1:21" x14ac:dyDescent="0.3">
      <c r="A223" s="2" t="s">
        <v>275</v>
      </c>
      <c r="B223" s="6">
        <v>46127</v>
      </c>
      <c r="C223" s="2" t="s">
        <v>68</v>
      </c>
      <c r="D223" s="2" t="s">
        <v>58</v>
      </c>
      <c r="E223" s="2" t="s">
        <v>44</v>
      </c>
      <c r="F223" s="2" t="s">
        <v>41</v>
      </c>
      <c r="G223" s="2" t="s">
        <v>23</v>
      </c>
      <c r="H223" s="11">
        <v>3.2982472989195601</v>
      </c>
      <c r="I223" s="7">
        <v>0.10426218487395</v>
      </c>
      <c r="J223" s="11">
        <v>2.2916206482593</v>
      </c>
      <c r="K223" s="2" t="s">
        <v>17</v>
      </c>
      <c r="L223" s="2" t="str">
        <f>_xlfn.XLOOKUP(D223,Products!A:A,Products!B:B)</f>
        <v>Study Table</v>
      </c>
      <c r="M223" s="2" t="str">
        <f>_xlfn.XLOOKUP(D223,Products!A:A,Products!C:C)</f>
        <v>Furniture</v>
      </c>
      <c r="N223" s="2" t="str">
        <f>_xlfn.XLOOKUP(D223,Products!A:A,Products!D:D)</f>
        <v>Ikea</v>
      </c>
      <c r="O223" s="2">
        <f>_xlfn.XLOOKUP(D223,Products!A:A,Products!E:E)</f>
        <v>5000</v>
      </c>
      <c r="P223" s="2">
        <f>_xlfn.XLOOKUP(D223,Products!A:A,Products!F:F)</f>
        <v>8500</v>
      </c>
      <c r="Q223" s="11">
        <f t="shared" si="15"/>
        <v>28035.102040816262</v>
      </c>
      <c r="R223" s="11">
        <f t="shared" si="16"/>
        <v>2923.000991939638</v>
      </c>
      <c r="S223" s="11">
        <f t="shared" si="17"/>
        <v>25112.101048876626</v>
      </c>
      <c r="T223" s="11">
        <f t="shared" si="18"/>
        <v>16491.236494597801</v>
      </c>
      <c r="U223" s="11">
        <f t="shared" si="19"/>
        <v>8620.8645542788254</v>
      </c>
    </row>
    <row r="224" spans="1:21" x14ac:dyDescent="0.3">
      <c r="A224" s="2" t="s">
        <v>276</v>
      </c>
      <c r="B224" s="6">
        <v>46128</v>
      </c>
      <c r="C224" s="2" t="s">
        <v>12</v>
      </c>
      <c r="D224" s="2" t="s">
        <v>13</v>
      </c>
      <c r="E224" s="2" t="s">
        <v>14</v>
      </c>
      <c r="F224" s="2" t="s">
        <v>15</v>
      </c>
      <c r="G224" s="2" t="s">
        <v>16</v>
      </c>
      <c r="H224" s="11">
        <v>3.3018007202881101</v>
      </c>
      <c r="I224" s="7">
        <v>0.104410084033613</v>
      </c>
      <c r="J224" s="11">
        <v>2.2795678271308502</v>
      </c>
      <c r="K224" s="2" t="s">
        <v>17</v>
      </c>
      <c r="L224" s="2" t="str">
        <f>_xlfn.XLOOKUP(D224,Products!A:A,Products!B:B)</f>
        <v>Laptop</v>
      </c>
      <c r="M224" s="2" t="str">
        <f>_xlfn.XLOOKUP(D224,Products!A:A,Products!C:C)</f>
        <v>Electronics</v>
      </c>
      <c r="N224" s="2" t="str">
        <f>_xlfn.XLOOKUP(D224,Products!A:A,Products!D:D)</f>
        <v>HP</v>
      </c>
      <c r="O224" s="2">
        <f>_xlfn.XLOOKUP(D224,Products!A:A,Products!E:E)</f>
        <v>42000</v>
      </c>
      <c r="P224" s="2">
        <f>_xlfn.XLOOKUP(D224,Products!A:A,Products!F:F)</f>
        <v>55000</v>
      </c>
      <c r="Q224" s="11">
        <f t="shared" si="15"/>
        <v>181599.03961584606</v>
      </c>
      <c r="R224" s="11">
        <f t="shared" si="16"/>
        <v>18960.770986713906</v>
      </c>
      <c r="S224" s="11">
        <f t="shared" si="17"/>
        <v>162638.26862913216</v>
      </c>
      <c r="T224" s="11">
        <f t="shared" si="18"/>
        <v>138675.63025210061</v>
      </c>
      <c r="U224" s="11">
        <f t="shared" si="19"/>
        <v>23962.638377031544</v>
      </c>
    </row>
    <row r="225" spans="1:21" x14ac:dyDescent="0.3">
      <c r="A225" s="2" t="s">
        <v>277</v>
      </c>
      <c r="B225" s="6">
        <v>46128</v>
      </c>
      <c r="C225" s="2" t="s">
        <v>19</v>
      </c>
      <c r="D225" s="2" t="s">
        <v>37</v>
      </c>
      <c r="E225" s="2" t="s">
        <v>27</v>
      </c>
      <c r="F225" s="2" t="s">
        <v>22</v>
      </c>
      <c r="G225" s="2" t="s">
        <v>29</v>
      </c>
      <c r="H225" s="11">
        <v>3.3053541416566601</v>
      </c>
      <c r="I225" s="7">
        <v>0.104557983193277</v>
      </c>
      <c r="J225" s="11">
        <v>2.2675150060023999</v>
      </c>
      <c r="K225" s="2" t="s">
        <v>30</v>
      </c>
      <c r="L225" s="2" t="str">
        <f>_xlfn.XLOOKUP(D225,Products!A:A,Products!B:B)</f>
        <v>Headphones</v>
      </c>
      <c r="M225" s="2" t="str">
        <f>_xlfn.XLOOKUP(D225,Products!A:A,Products!C:C)</f>
        <v>Electronics</v>
      </c>
      <c r="N225" s="2" t="str">
        <f>_xlfn.XLOOKUP(D225,Products!A:A,Products!D:D)</f>
        <v>Sony</v>
      </c>
      <c r="O225" s="2">
        <f>_xlfn.XLOOKUP(D225,Products!A:A,Products!E:E)</f>
        <v>1800</v>
      </c>
      <c r="P225" s="2">
        <f>_xlfn.XLOOKUP(D225,Products!A:A,Products!F:F)</f>
        <v>3200</v>
      </c>
      <c r="Q225" s="11">
        <f t="shared" si="15"/>
        <v>10577.133253301312</v>
      </c>
      <c r="R225" s="11">
        <f t="shared" si="16"/>
        <v>1105.9237209317298</v>
      </c>
      <c r="S225" s="11">
        <f t="shared" si="17"/>
        <v>9471.209532369583</v>
      </c>
      <c r="T225" s="11">
        <f t="shared" si="18"/>
        <v>5949.6374549819884</v>
      </c>
      <c r="U225" s="11">
        <f t="shared" si="19"/>
        <v>3521.5720773875946</v>
      </c>
    </row>
    <row r="226" spans="1:21" x14ac:dyDescent="0.3">
      <c r="A226" s="2" t="s">
        <v>278</v>
      </c>
      <c r="B226" s="6">
        <v>46129</v>
      </c>
      <c r="C226" s="2" t="s">
        <v>25</v>
      </c>
      <c r="D226" s="2" t="s">
        <v>20</v>
      </c>
      <c r="E226" s="2" t="s">
        <v>21</v>
      </c>
      <c r="F226" s="2" t="s">
        <v>39</v>
      </c>
      <c r="G226" s="2" t="s">
        <v>23</v>
      </c>
      <c r="H226" s="11">
        <v>3.3089075630252101</v>
      </c>
      <c r="I226" s="7">
        <v>0.104705882352941</v>
      </c>
      <c r="J226" s="11">
        <v>2.25546218487395</v>
      </c>
      <c r="K226" s="2" t="s">
        <v>17</v>
      </c>
      <c r="L226" s="2" t="str">
        <f>_xlfn.XLOOKUP(D226,Products!A:A,Products!B:B)</f>
        <v>Jeans</v>
      </c>
      <c r="M226" s="2" t="str">
        <f>_xlfn.XLOOKUP(D226,Products!A:A,Products!C:C)</f>
        <v>Clothing</v>
      </c>
      <c r="N226" s="2" t="str">
        <f>_xlfn.XLOOKUP(D226,Products!A:A,Products!D:D)</f>
        <v>Wrangler</v>
      </c>
      <c r="O226" s="2">
        <f>_xlfn.XLOOKUP(D226,Products!A:A,Products!E:E)</f>
        <v>1100</v>
      </c>
      <c r="P226" s="2">
        <f>_xlfn.XLOOKUP(D226,Products!A:A,Products!F:F)</f>
        <v>2200</v>
      </c>
      <c r="Q226" s="11">
        <f t="shared" si="15"/>
        <v>7279.5966386554619</v>
      </c>
      <c r="R226" s="11">
        <f t="shared" si="16"/>
        <v>762.21658922392351</v>
      </c>
      <c r="S226" s="11">
        <f t="shared" si="17"/>
        <v>6517.3800494315383</v>
      </c>
      <c r="T226" s="11">
        <f t="shared" si="18"/>
        <v>3639.798319327731</v>
      </c>
      <c r="U226" s="11">
        <f t="shared" si="19"/>
        <v>2877.5817301038073</v>
      </c>
    </row>
    <row r="227" spans="1:21" x14ac:dyDescent="0.3">
      <c r="A227" s="2" t="s">
        <v>279</v>
      </c>
      <c r="B227" s="6">
        <v>46129</v>
      </c>
      <c r="C227" s="2" t="s">
        <v>32</v>
      </c>
      <c r="D227" s="2" t="s">
        <v>40</v>
      </c>
      <c r="E227" s="2" t="s">
        <v>38</v>
      </c>
      <c r="F227" s="2" t="s">
        <v>15</v>
      </c>
      <c r="G227" s="2" t="s">
        <v>16</v>
      </c>
      <c r="H227" s="11">
        <v>3.3124609843937498</v>
      </c>
      <c r="I227" s="7">
        <v>0.10485378151260499</v>
      </c>
      <c r="J227" s="11">
        <v>2.2434093637455002</v>
      </c>
      <c r="K227" s="2" t="s">
        <v>17</v>
      </c>
      <c r="L227" s="2" t="str">
        <f>_xlfn.XLOOKUP(D227,Products!A:A,Products!B:B)</f>
        <v>Office Chair</v>
      </c>
      <c r="M227" s="2" t="str">
        <f>_xlfn.XLOOKUP(D227,Products!A:A,Products!C:C)</f>
        <v>Furniture</v>
      </c>
      <c r="N227" s="2" t="str">
        <f>_xlfn.XLOOKUP(D227,Products!A:A,Products!D:D)</f>
        <v>Featherlite</v>
      </c>
      <c r="O227" s="2">
        <f>_xlfn.XLOOKUP(D227,Products!A:A,Products!E:E)</f>
        <v>4500</v>
      </c>
      <c r="P227" s="2">
        <f>_xlfn.XLOOKUP(D227,Products!A:A,Products!F:F)</f>
        <v>7500</v>
      </c>
      <c r="Q227" s="11">
        <f t="shared" si="15"/>
        <v>24843.457382953122</v>
      </c>
      <c r="R227" s="11">
        <f t="shared" si="16"/>
        <v>2604.9304524498802</v>
      </c>
      <c r="S227" s="11">
        <f t="shared" si="17"/>
        <v>22238.526930503242</v>
      </c>
      <c r="T227" s="11">
        <f t="shared" si="18"/>
        <v>14906.074429771874</v>
      </c>
      <c r="U227" s="11">
        <f t="shared" si="19"/>
        <v>7332.4525007313678</v>
      </c>
    </row>
    <row r="228" spans="1:21" x14ac:dyDescent="0.3">
      <c r="A228" s="2" t="s">
        <v>280</v>
      </c>
      <c r="B228" s="6">
        <v>46130</v>
      </c>
      <c r="C228" s="2" t="s">
        <v>34</v>
      </c>
      <c r="D228" s="2" t="s">
        <v>26</v>
      </c>
      <c r="E228" s="2" t="s">
        <v>44</v>
      </c>
      <c r="F228" s="2" t="s">
        <v>22</v>
      </c>
      <c r="G228" s="2" t="s">
        <v>42</v>
      </c>
      <c r="H228" s="11">
        <v>3.3160144057623002</v>
      </c>
      <c r="I228" s="7">
        <v>0.105001680672269</v>
      </c>
      <c r="J228" s="11">
        <v>2.2313565426170499</v>
      </c>
      <c r="K228" s="2" t="s">
        <v>17</v>
      </c>
      <c r="L228" s="2" t="str">
        <f>_xlfn.XLOOKUP(D228,Products!A:A,Products!B:B)</f>
        <v>Face Wash</v>
      </c>
      <c r="M228" s="2" t="str">
        <f>_xlfn.XLOOKUP(D228,Products!A:A,Products!C:C)</f>
        <v>Beauty</v>
      </c>
      <c r="N228" s="2" t="str">
        <f>_xlfn.XLOOKUP(D228,Products!A:A,Products!D:D)</f>
        <v>Nivea</v>
      </c>
      <c r="O228" s="2">
        <f>_xlfn.XLOOKUP(D228,Products!A:A,Products!E:E)</f>
        <v>180</v>
      </c>
      <c r="P228" s="2">
        <f>_xlfn.XLOOKUP(D228,Products!A:A,Products!F:F)</f>
        <v>350</v>
      </c>
      <c r="Q228" s="11">
        <f t="shared" si="15"/>
        <v>1160.6050420168051</v>
      </c>
      <c r="R228" s="11">
        <f t="shared" si="16"/>
        <v>121.86548000847392</v>
      </c>
      <c r="S228" s="11">
        <f t="shared" si="17"/>
        <v>1038.7395620083312</v>
      </c>
      <c r="T228" s="11">
        <f t="shared" si="18"/>
        <v>596.88259303721406</v>
      </c>
      <c r="U228" s="11">
        <f t="shared" si="19"/>
        <v>441.85696897111711</v>
      </c>
    </row>
    <row r="229" spans="1:21" x14ac:dyDescent="0.3">
      <c r="A229" s="2" t="s">
        <v>281</v>
      </c>
      <c r="B229" s="6">
        <v>46130</v>
      </c>
      <c r="C229" s="2" t="s">
        <v>36</v>
      </c>
      <c r="D229" s="2" t="s">
        <v>47</v>
      </c>
      <c r="E229" s="2" t="s">
        <v>14</v>
      </c>
      <c r="F229" s="2" t="s">
        <v>41</v>
      </c>
      <c r="G229" s="2" t="s">
        <v>23</v>
      </c>
      <c r="H229" s="11">
        <v>3.3195678271308502</v>
      </c>
      <c r="I229" s="7">
        <v>0.105149579831933</v>
      </c>
      <c r="J229" s="11">
        <v>2.2193037214886</v>
      </c>
      <c r="K229" s="2" t="s">
        <v>17</v>
      </c>
      <c r="L229" s="2" t="str">
        <f>_xlfn.XLOOKUP(D229,Products!A:A,Products!B:B)</f>
        <v>Mixer Grinder</v>
      </c>
      <c r="M229" s="2" t="str">
        <f>_xlfn.XLOOKUP(D229,Products!A:A,Products!C:C)</f>
        <v>Home Appliances</v>
      </c>
      <c r="N229" s="2" t="str">
        <f>_xlfn.XLOOKUP(D229,Products!A:A,Products!D:D)</f>
        <v>Philips</v>
      </c>
      <c r="O229" s="2">
        <f>_xlfn.XLOOKUP(D229,Products!A:A,Products!E:E)</f>
        <v>2800</v>
      </c>
      <c r="P229" s="2">
        <f>_xlfn.XLOOKUP(D229,Products!A:A,Products!F:F)</f>
        <v>4800</v>
      </c>
      <c r="Q229" s="11">
        <f t="shared" si="15"/>
        <v>15933.925570228081</v>
      </c>
      <c r="R229" s="11">
        <f t="shared" si="16"/>
        <v>1675.4455787827762</v>
      </c>
      <c r="S229" s="11">
        <f t="shared" si="17"/>
        <v>14258.479991445305</v>
      </c>
      <c r="T229" s="11">
        <f t="shared" si="18"/>
        <v>9294.7899159663812</v>
      </c>
      <c r="U229" s="11">
        <f t="shared" si="19"/>
        <v>4963.690075478924</v>
      </c>
    </row>
    <row r="230" spans="1:21" x14ac:dyDescent="0.3">
      <c r="A230" s="2" t="s">
        <v>282</v>
      </c>
      <c r="B230" s="6">
        <v>46131</v>
      </c>
      <c r="C230" s="2" t="s">
        <v>46</v>
      </c>
      <c r="D230" s="2" t="s">
        <v>43</v>
      </c>
      <c r="E230" s="2" t="s">
        <v>27</v>
      </c>
      <c r="F230" s="2" t="s">
        <v>15</v>
      </c>
      <c r="G230" s="2" t="s">
        <v>16</v>
      </c>
      <c r="H230" s="11">
        <v>3.3231212484994002</v>
      </c>
      <c r="I230" s="7">
        <v>0.105297478991597</v>
      </c>
      <c r="J230" s="11">
        <v>2.2072509003601399</v>
      </c>
      <c r="K230" s="2" t="s">
        <v>17</v>
      </c>
      <c r="L230" s="2" t="str">
        <f>_xlfn.XLOOKUP(D230,Products!A:A,Products!B:B)</f>
        <v>Smartphone</v>
      </c>
      <c r="M230" s="2" t="str">
        <f>_xlfn.XLOOKUP(D230,Products!A:A,Products!C:C)</f>
        <v>Electronics</v>
      </c>
      <c r="N230" s="2" t="str">
        <f>_xlfn.XLOOKUP(D230,Products!A:A,Products!D:D)</f>
        <v>Samsung</v>
      </c>
      <c r="O230" s="2">
        <f>_xlfn.XLOOKUP(D230,Products!A:A,Products!E:E)</f>
        <v>14000</v>
      </c>
      <c r="P230" s="2">
        <f>_xlfn.XLOOKUP(D230,Products!A:A,Products!F:F)</f>
        <v>22000</v>
      </c>
      <c r="Q230" s="11">
        <f t="shared" si="15"/>
        <v>73108.667466986808</v>
      </c>
      <c r="R230" s="11">
        <f t="shared" si="16"/>
        <v>7698.158376708694</v>
      </c>
      <c r="S230" s="11">
        <f t="shared" si="17"/>
        <v>65410.509090278116</v>
      </c>
      <c r="T230" s="11">
        <f t="shared" si="18"/>
        <v>46523.697478991606</v>
      </c>
      <c r="U230" s="11">
        <f t="shared" si="19"/>
        <v>18886.81161128651</v>
      </c>
    </row>
    <row r="231" spans="1:21" x14ac:dyDescent="0.3">
      <c r="A231" s="2" t="s">
        <v>283</v>
      </c>
      <c r="B231" s="6">
        <v>46131</v>
      </c>
      <c r="C231" s="2" t="s">
        <v>50</v>
      </c>
      <c r="D231" s="2" t="s">
        <v>51</v>
      </c>
      <c r="E231" s="2" t="s">
        <v>21</v>
      </c>
      <c r="F231" s="2" t="s">
        <v>52</v>
      </c>
      <c r="G231" s="2" t="s">
        <v>29</v>
      </c>
      <c r="H231" s="11">
        <v>3.3266746698679399</v>
      </c>
      <c r="I231" s="7">
        <v>0.105445378151261</v>
      </c>
      <c r="J231" s="11">
        <v>2.1951980792316901</v>
      </c>
      <c r="K231" s="2" t="s">
        <v>30</v>
      </c>
      <c r="L231" s="2" t="str">
        <f>_xlfn.XLOOKUP(D231,Products!A:A,Products!B:B)</f>
        <v>Shirt</v>
      </c>
      <c r="M231" s="2" t="str">
        <f>_xlfn.XLOOKUP(D231,Products!A:A,Products!C:C)</f>
        <v>Clothing</v>
      </c>
      <c r="N231" s="2" t="str">
        <f>_xlfn.XLOOKUP(D231,Products!A:A,Products!D:D)</f>
        <v>Levis</v>
      </c>
      <c r="O231" s="2">
        <f>_xlfn.XLOOKUP(D231,Products!A:A,Products!E:E)</f>
        <v>700</v>
      </c>
      <c r="P231" s="2">
        <f>_xlfn.XLOOKUP(D231,Products!A:A,Products!F:F)</f>
        <v>1500</v>
      </c>
      <c r="Q231" s="11">
        <f t="shared" si="15"/>
        <v>4990.0120048019098</v>
      </c>
      <c r="R231" s="11">
        <f t="shared" si="16"/>
        <v>526.17370282566935</v>
      </c>
      <c r="S231" s="11">
        <f t="shared" si="17"/>
        <v>4463.8383019762405</v>
      </c>
      <c r="T231" s="11">
        <f t="shared" si="18"/>
        <v>2328.6722689075577</v>
      </c>
      <c r="U231" s="11">
        <f t="shared" si="19"/>
        <v>2135.1660330686827</v>
      </c>
    </row>
    <row r="232" spans="1:21" x14ac:dyDescent="0.3">
      <c r="A232" s="2" t="s">
        <v>284</v>
      </c>
      <c r="B232" s="6">
        <v>46132</v>
      </c>
      <c r="C232" s="2" t="s">
        <v>54</v>
      </c>
      <c r="D232" s="2" t="s">
        <v>55</v>
      </c>
      <c r="E232" s="2" t="s">
        <v>38</v>
      </c>
      <c r="F232" s="2" t="s">
        <v>22</v>
      </c>
      <c r="G232" s="2" t="s">
        <v>16</v>
      </c>
      <c r="H232" s="11">
        <v>3.3302280912364899</v>
      </c>
      <c r="I232" s="7">
        <v>0.10559327731092399</v>
      </c>
      <c r="J232" s="11">
        <v>2.1831452581032398</v>
      </c>
      <c r="K232" s="2" t="s">
        <v>17</v>
      </c>
      <c r="L232" s="2" t="str">
        <f>_xlfn.XLOOKUP(D232,Products!A:A,Products!B:B)</f>
        <v>Sports Shoes</v>
      </c>
      <c r="M232" s="2" t="str">
        <f>_xlfn.XLOOKUP(D232,Products!A:A,Products!C:C)</f>
        <v>Sports</v>
      </c>
      <c r="N232" s="2" t="str">
        <f>_xlfn.XLOOKUP(D232,Products!A:A,Products!D:D)</f>
        <v>Nike</v>
      </c>
      <c r="O232" s="2">
        <f>_xlfn.XLOOKUP(D232,Products!A:A,Products!E:E)</f>
        <v>2200</v>
      </c>
      <c r="P232" s="2">
        <f>_xlfn.XLOOKUP(D232,Products!A:A,Products!F:F)</f>
        <v>4500</v>
      </c>
      <c r="Q232" s="11">
        <f t="shared" si="15"/>
        <v>14986.026410564204</v>
      </c>
      <c r="R232" s="11">
        <f t="shared" si="16"/>
        <v>1582.4236425595368</v>
      </c>
      <c r="S232" s="11">
        <f t="shared" si="17"/>
        <v>13403.602768004666</v>
      </c>
      <c r="T232" s="11">
        <f t="shared" si="18"/>
        <v>7326.501800720278</v>
      </c>
      <c r="U232" s="11">
        <f t="shared" si="19"/>
        <v>6077.1009672843884</v>
      </c>
    </row>
    <row r="233" spans="1:21" x14ac:dyDescent="0.3">
      <c r="A233" s="2" t="s">
        <v>285</v>
      </c>
      <c r="B233" s="6">
        <v>46132</v>
      </c>
      <c r="C233" s="2" t="s">
        <v>57</v>
      </c>
      <c r="D233" s="2" t="s">
        <v>58</v>
      </c>
      <c r="E233" s="2" t="s">
        <v>44</v>
      </c>
      <c r="F233" s="2" t="s">
        <v>15</v>
      </c>
      <c r="G233" s="2" t="s">
        <v>23</v>
      </c>
      <c r="H233" s="11">
        <v>3.3337815126050399</v>
      </c>
      <c r="I233" s="7">
        <v>0.10574117647058801</v>
      </c>
      <c r="J233" s="11">
        <v>2.1710924369747899</v>
      </c>
      <c r="K233" s="2" t="s">
        <v>17</v>
      </c>
      <c r="L233" s="2" t="str">
        <f>_xlfn.XLOOKUP(D233,Products!A:A,Products!B:B)</f>
        <v>Study Table</v>
      </c>
      <c r="M233" s="2" t="str">
        <f>_xlfn.XLOOKUP(D233,Products!A:A,Products!C:C)</f>
        <v>Furniture</v>
      </c>
      <c r="N233" s="2" t="str">
        <f>_xlfn.XLOOKUP(D233,Products!A:A,Products!D:D)</f>
        <v>Ikea</v>
      </c>
      <c r="O233" s="2">
        <f>_xlfn.XLOOKUP(D233,Products!A:A,Products!E:E)</f>
        <v>5000</v>
      </c>
      <c r="P233" s="2">
        <f>_xlfn.XLOOKUP(D233,Products!A:A,Products!F:F)</f>
        <v>8500</v>
      </c>
      <c r="Q233" s="11">
        <f t="shared" si="15"/>
        <v>28337.142857142841</v>
      </c>
      <c r="R233" s="11">
        <f t="shared" si="16"/>
        <v>2996.4028235294036</v>
      </c>
      <c r="S233" s="11">
        <f t="shared" si="17"/>
        <v>25340.740033613438</v>
      </c>
      <c r="T233" s="11">
        <f t="shared" si="18"/>
        <v>16668.907563025201</v>
      </c>
      <c r="U233" s="11">
        <f t="shared" si="19"/>
        <v>8671.8324705882369</v>
      </c>
    </row>
    <row r="234" spans="1:21" x14ac:dyDescent="0.3">
      <c r="A234" s="2" t="s">
        <v>286</v>
      </c>
      <c r="B234" s="6">
        <v>46133</v>
      </c>
      <c r="C234" s="2" t="s">
        <v>60</v>
      </c>
      <c r="D234" s="2" t="s">
        <v>13</v>
      </c>
      <c r="E234" s="2" t="s">
        <v>14</v>
      </c>
      <c r="F234" s="2" t="s">
        <v>39</v>
      </c>
      <c r="G234" s="2" t="s">
        <v>16</v>
      </c>
      <c r="H234" s="11">
        <v>3.3373349339735898</v>
      </c>
      <c r="I234" s="7">
        <v>0.105889075630252</v>
      </c>
      <c r="J234" s="11">
        <v>2.1590396158463401</v>
      </c>
      <c r="K234" s="2" t="s">
        <v>17</v>
      </c>
      <c r="L234" s="2" t="str">
        <f>_xlfn.XLOOKUP(D234,Products!A:A,Products!B:B)</f>
        <v>Laptop</v>
      </c>
      <c r="M234" s="2" t="str">
        <f>_xlfn.XLOOKUP(D234,Products!A:A,Products!C:C)</f>
        <v>Electronics</v>
      </c>
      <c r="N234" s="2" t="str">
        <f>_xlfn.XLOOKUP(D234,Products!A:A,Products!D:D)</f>
        <v>HP</v>
      </c>
      <c r="O234" s="2">
        <f>_xlfn.XLOOKUP(D234,Products!A:A,Products!E:E)</f>
        <v>42000</v>
      </c>
      <c r="P234" s="2">
        <f>_xlfn.XLOOKUP(D234,Products!A:A,Products!F:F)</f>
        <v>55000</v>
      </c>
      <c r="Q234" s="11">
        <f t="shared" si="15"/>
        <v>183553.42136854745</v>
      </c>
      <c r="R234" s="11">
        <f t="shared" si="16"/>
        <v>19436.302117485637</v>
      </c>
      <c r="S234" s="11">
        <f t="shared" si="17"/>
        <v>164117.11925106181</v>
      </c>
      <c r="T234" s="11">
        <f t="shared" si="18"/>
        <v>140168.06722689077</v>
      </c>
      <c r="U234" s="11">
        <f t="shared" si="19"/>
        <v>23949.052024171047</v>
      </c>
    </row>
    <row r="235" spans="1:21" x14ac:dyDescent="0.3">
      <c r="A235" s="2" t="s">
        <v>287</v>
      </c>
      <c r="B235" s="6">
        <v>46133</v>
      </c>
      <c r="C235" s="2" t="s">
        <v>62</v>
      </c>
      <c r="D235" s="2" t="s">
        <v>20</v>
      </c>
      <c r="E235" s="2" t="s">
        <v>27</v>
      </c>
      <c r="F235" s="2" t="s">
        <v>15</v>
      </c>
      <c r="G235" s="2" t="s">
        <v>29</v>
      </c>
      <c r="H235" s="11">
        <v>3.34088835534213</v>
      </c>
      <c r="I235" s="7">
        <v>0.106036974789916</v>
      </c>
      <c r="J235" s="11">
        <v>2.1469867947178898</v>
      </c>
      <c r="K235" s="2" t="s">
        <v>17</v>
      </c>
      <c r="L235" s="2" t="str">
        <f>_xlfn.XLOOKUP(D235,Products!A:A,Products!B:B)</f>
        <v>Jeans</v>
      </c>
      <c r="M235" s="2" t="str">
        <f>_xlfn.XLOOKUP(D235,Products!A:A,Products!C:C)</f>
        <v>Clothing</v>
      </c>
      <c r="N235" s="2" t="str">
        <f>_xlfn.XLOOKUP(D235,Products!A:A,Products!D:D)</f>
        <v>Wrangler</v>
      </c>
      <c r="O235" s="2">
        <f>_xlfn.XLOOKUP(D235,Products!A:A,Products!E:E)</f>
        <v>1100</v>
      </c>
      <c r="P235" s="2">
        <f>_xlfn.XLOOKUP(D235,Products!A:A,Products!F:F)</f>
        <v>2200</v>
      </c>
      <c r="Q235" s="11">
        <f t="shared" si="15"/>
        <v>7349.9543817526865</v>
      </c>
      <c r="R235" s="11">
        <f t="shared" si="16"/>
        <v>779.36692748494227</v>
      </c>
      <c r="S235" s="11">
        <f t="shared" si="17"/>
        <v>6570.5874542677439</v>
      </c>
      <c r="T235" s="11">
        <f t="shared" si="18"/>
        <v>3674.9771908763432</v>
      </c>
      <c r="U235" s="11">
        <f t="shared" si="19"/>
        <v>2895.6102633914006</v>
      </c>
    </row>
    <row r="236" spans="1:21" x14ac:dyDescent="0.3">
      <c r="A236" s="2" t="s">
        <v>288</v>
      </c>
      <c r="B236" s="6">
        <v>46134</v>
      </c>
      <c r="C236" s="2" t="s">
        <v>64</v>
      </c>
      <c r="D236" s="2" t="s">
        <v>26</v>
      </c>
      <c r="E236" s="2" t="s">
        <v>21</v>
      </c>
      <c r="F236" s="2" t="s">
        <v>41</v>
      </c>
      <c r="G236" s="2" t="s">
        <v>23</v>
      </c>
      <c r="H236" s="11">
        <v>3.34444177671068</v>
      </c>
      <c r="I236" s="7">
        <v>0.10618487394958</v>
      </c>
      <c r="J236" s="11">
        <v>2.1349339735894399</v>
      </c>
      <c r="K236" s="2" t="s">
        <v>17</v>
      </c>
      <c r="L236" s="2" t="str">
        <f>_xlfn.XLOOKUP(D236,Products!A:A,Products!B:B)</f>
        <v>Face Wash</v>
      </c>
      <c r="M236" s="2" t="str">
        <f>_xlfn.XLOOKUP(D236,Products!A:A,Products!C:C)</f>
        <v>Beauty</v>
      </c>
      <c r="N236" s="2" t="str">
        <f>_xlfn.XLOOKUP(D236,Products!A:A,Products!D:D)</f>
        <v>Nivea</v>
      </c>
      <c r="O236" s="2">
        <f>_xlfn.XLOOKUP(D236,Products!A:A,Products!E:E)</f>
        <v>180</v>
      </c>
      <c r="P236" s="2">
        <f>_xlfn.XLOOKUP(D236,Products!A:A,Products!F:F)</f>
        <v>350</v>
      </c>
      <c r="Q236" s="11">
        <f t="shared" si="15"/>
        <v>1170.554621848738</v>
      </c>
      <c r="R236" s="11">
        <f t="shared" si="16"/>
        <v>124.29519497210651</v>
      </c>
      <c r="S236" s="11">
        <f t="shared" si="17"/>
        <v>1046.2594268766316</v>
      </c>
      <c r="T236" s="11">
        <f t="shared" si="18"/>
        <v>601.99951980792241</v>
      </c>
      <c r="U236" s="11">
        <f t="shared" si="19"/>
        <v>444.25990706870914</v>
      </c>
    </row>
    <row r="237" spans="1:21" x14ac:dyDescent="0.3">
      <c r="A237" s="2" t="s">
        <v>289</v>
      </c>
      <c r="B237" s="6">
        <v>46134</v>
      </c>
      <c r="C237" s="2" t="s">
        <v>66</v>
      </c>
      <c r="D237" s="2" t="s">
        <v>37</v>
      </c>
      <c r="E237" s="2" t="s">
        <v>38</v>
      </c>
      <c r="F237" s="2" t="s">
        <v>22</v>
      </c>
      <c r="G237" s="2" t="s">
        <v>16</v>
      </c>
      <c r="H237" s="11">
        <v>3.34799519807923</v>
      </c>
      <c r="I237" s="7">
        <v>0.10633277310924399</v>
      </c>
      <c r="J237" s="11">
        <v>2.1228811524609799</v>
      </c>
      <c r="K237" s="2" t="s">
        <v>30</v>
      </c>
      <c r="L237" s="2" t="str">
        <f>_xlfn.XLOOKUP(D237,Products!A:A,Products!B:B)</f>
        <v>Headphones</v>
      </c>
      <c r="M237" s="2" t="str">
        <f>_xlfn.XLOOKUP(D237,Products!A:A,Products!C:C)</f>
        <v>Electronics</v>
      </c>
      <c r="N237" s="2" t="str">
        <f>_xlfn.XLOOKUP(D237,Products!A:A,Products!D:D)</f>
        <v>Sony</v>
      </c>
      <c r="O237" s="2">
        <f>_xlfn.XLOOKUP(D237,Products!A:A,Products!E:E)</f>
        <v>1800</v>
      </c>
      <c r="P237" s="2">
        <f>_xlfn.XLOOKUP(D237,Products!A:A,Products!F:F)</f>
        <v>3200</v>
      </c>
      <c r="Q237" s="11">
        <f t="shared" si="15"/>
        <v>10713.584633853536</v>
      </c>
      <c r="R237" s="11">
        <f t="shared" si="16"/>
        <v>1139.2051640582308</v>
      </c>
      <c r="S237" s="11">
        <f t="shared" si="17"/>
        <v>9574.3794697953053</v>
      </c>
      <c r="T237" s="11">
        <f t="shared" si="18"/>
        <v>6026.3913565426137</v>
      </c>
      <c r="U237" s="11">
        <f t="shared" si="19"/>
        <v>3547.9881132526916</v>
      </c>
    </row>
    <row r="238" spans="1:21" x14ac:dyDescent="0.3">
      <c r="A238" s="2" t="s">
        <v>290</v>
      </c>
      <c r="B238" s="6">
        <v>46135</v>
      </c>
      <c r="C238" s="2" t="s">
        <v>68</v>
      </c>
      <c r="D238" s="2" t="s">
        <v>40</v>
      </c>
      <c r="E238" s="2" t="s">
        <v>44</v>
      </c>
      <c r="F238" s="2" t="s">
        <v>15</v>
      </c>
      <c r="G238" s="2" t="s">
        <v>42</v>
      </c>
      <c r="H238" s="11">
        <v>3.3515486194477799</v>
      </c>
      <c r="I238" s="7">
        <v>0.10648067226890801</v>
      </c>
      <c r="J238" s="11">
        <v>2.11082833133253</v>
      </c>
      <c r="K238" s="2" t="s">
        <v>17</v>
      </c>
      <c r="L238" s="2" t="str">
        <f>_xlfn.XLOOKUP(D238,Products!A:A,Products!B:B)</f>
        <v>Office Chair</v>
      </c>
      <c r="M238" s="2" t="str">
        <f>_xlfn.XLOOKUP(D238,Products!A:A,Products!C:C)</f>
        <v>Furniture</v>
      </c>
      <c r="N238" s="2" t="str">
        <f>_xlfn.XLOOKUP(D238,Products!A:A,Products!D:D)</f>
        <v>Featherlite</v>
      </c>
      <c r="O238" s="2">
        <f>_xlfn.XLOOKUP(D238,Products!A:A,Products!E:E)</f>
        <v>4500</v>
      </c>
      <c r="P238" s="2">
        <f>_xlfn.XLOOKUP(D238,Products!A:A,Products!F:F)</f>
        <v>7500</v>
      </c>
      <c r="Q238" s="11">
        <f t="shared" si="15"/>
        <v>25136.61464585835</v>
      </c>
      <c r="R238" s="11">
        <f t="shared" si="16"/>
        <v>2676.5636260554761</v>
      </c>
      <c r="S238" s="11">
        <f t="shared" si="17"/>
        <v>22460.051019802875</v>
      </c>
      <c r="T238" s="11">
        <f t="shared" si="18"/>
        <v>15081.96878751501</v>
      </c>
      <c r="U238" s="11">
        <f t="shared" si="19"/>
        <v>7378.0822322878648</v>
      </c>
    </row>
    <row r="239" spans="1:21" x14ac:dyDescent="0.3">
      <c r="A239" s="2" t="s">
        <v>291</v>
      </c>
      <c r="B239" s="6">
        <v>46135</v>
      </c>
      <c r="C239" s="2" t="s">
        <v>12</v>
      </c>
      <c r="D239" s="2" t="s">
        <v>47</v>
      </c>
      <c r="E239" s="2" t="s">
        <v>14</v>
      </c>
      <c r="F239" s="2" t="s">
        <v>52</v>
      </c>
      <c r="G239" s="2" t="s">
        <v>16</v>
      </c>
      <c r="H239" s="11">
        <v>3.3551020408163201</v>
      </c>
      <c r="I239" s="7">
        <v>0.106628571428571</v>
      </c>
      <c r="J239" s="11">
        <v>2.0987755102040802</v>
      </c>
      <c r="K239" s="2" t="s">
        <v>17</v>
      </c>
      <c r="L239" s="2" t="str">
        <f>_xlfn.XLOOKUP(D239,Products!A:A,Products!B:B)</f>
        <v>Mixer Grinder</v>
      </c>
      <c r="M239" s="2" t="str">
        <f>_xlfn.XLOOKUP(D239,Products!A:A,Products!C:C)</f>
        <v>Home Appliances</v>
      </c>
      <c r="N239" s="2" t="str">
        <f>_xlfn.XLOOKUP(D239,Products!A:A,Products!D:D)</f>
        <v>Philips</v>
      </c>
      <c r="O239" s="2">
        <f>_xlfn.XLOOKUP(D239,Products!A:A,Products!E:E)</f>
        <v>2800</v>
      </c>
      <c r="P239" s="2">
        <f>_xlfn.XLOOKUP(D239,Products!A:A,Products!F:F)</f>
        <v>4800</v>
      </c>
      <c r="Q239" s="11">
        <f t="shared" si="15"/>
        <v>16104.489795918336</v>
      </c>
      <c r="R239" s="11">
        <f t="shared" si="16"/>
        <v>1717.1987405247712</v>
      </c>
      <c r="S239" s="11">
        <f t="shared" si="17"/>
        <v>14387.291055393565</v>
      </c>
      <c r="T239" s="11">
        <f t="shared" si="18"/>
        <v>9394.2857142856956</v>
      </c>
      <c r="U239" s="11">
        <f t="shared" si="19"/>
        <v>4993.0053411078698</v>
      </c>
    </row>
    <row r="240" spans="1:21" x14ac:dyDescent="0.3">
      <c r="A240" s="2" t="s">
        <v>292</v>
      </c>
      <c r="B240" s="6">
        <v>46136</v>
      </c>
      <c r="C240" s="2" t="s">
        <v>19</v>
      </c>
      <c r="D240" s="2" t="s">
        <v>43</v>
      </c>
      <c r="E240" s="2" t="s">
        <v>27</v>
      </c>
      <c r="F240" s="2" t="s">
        <v>22</v>
      </c>
      <c r="G240" s="2" t="s">
        <v>23</v>
      </c>
      <c r="H240" s="11">
        <v>3.3586554621848701</v>
      </c>
      <c r="I240" s="7">
        <v>0.106776470588235</v>
      </c>
      <c r="J240" s="11">
        <v>2.0867226890756299</v>
      </c>
      <c r="K240" s="2" t="s">
        <v>17</v>
      </c>
      <c r="L240" s="2" t="str">
        <f>_xlfn.XLOOKUP(D240,Products!A:A,Products!B:B)</f>
        <v>Smartphone</v>
      </c>
      <c r="M240" s="2" t="str">
        <f>_xlfn.XLOOKUP(D240,Products!A:A,Products!C:C)</f>
        <v>Electronics</v>
      </c>
      <c r="N240" s="2" t="str">
        <f>_xlfn.XLOOKUP(D240,Products!A:A,Products!D:D)</f>
        <v>Samsung</v>
      </c>
      <c r="O240" s="2">
        <f>_xlfn.XLOOKUP(D240,Products!A:A,Products!E:E)</f>
        <v>14000</v>
      </c>
      <c r="P240" s="2">
        <f>_xlfn.XLOOKUP(D240,Products!A:A,Products!F:F)</f>
        <v>22000</v>
      </c>
      <c r="Q240" s="11">
        <f t="shared" si="15"/>
        <v>73890.420168067139</v>
      </c>
      <c r="R240" s="11">
        <f t="shared" si="16"/>
        <v>7889.7582758279468</v>
      </c>
      <c r="S240" s="11">
        <f t="shared" si="17"/>
        <v>66000.661892239194</v>
      </c>
      <c r="T240" s="11">
        <f t="shared" si="18"/>
        <v>47021.17647058818</v>
      </c>
      <c r="U240" s="11">
        <f t="shared" si="19"/>
        <v>18979.485421651014</v>
      </c>
    </row>
    <row r="241" spans="1:21" x14ac:dyDescent="0.3">
      <c r="A241" s="2" t="s">
        <v>293</v>
      </c>
      <c r="B241" s="6">
        <v>46136</v>
      </c>
      <c r="C241" s="2" t="s">
        <v>25</v>
      </c>
      <c r="D241" s="2" t="s">
        <v>51</v>
      </c>
      <c r="E241" s="2" t="s">
        <v>21</v>
      </c>
      <c r="F241" s="2" t="s">
        <v>15</v>
      </c>
      <c r="G241" s="2" t="s">
        <v>29</v>
      </c>
      <c r="H241" s="11">
        <v>3.3622088835534201</v>
      </c>
      <c r="I241" s="7">
        <v>0.106924369747899</v>
      </c>
      <c r="J241" s="11">
        <v>2.07466986794718</v>
      </c>
      <c r="K241" s="2" t="s">
        <v>17</v>
      </c>
      <c r="L241" s="2" t="str">
        <f>_xlfn.XLOOKUP(D241,Products!A:A,Products!B:B)</f>
        <v>Shirt</v>
      </c>
      <c r="M241" s="2" t="str">
        <f>_xlfn.XLOOKUP(D241,Products!A:A,Products!C:C)</f>
        <v>Clothing</v>
      </c>
      <c r="N241" s="2" t="str">
        <f>_xlfn.XLOOKUP(D241,Products!A:A,Products!D:D)</f>
        <v>Levis</v>
      </c>
      <c r="O241" s="2">
        <f>_xlfn.XLOOKUP(D241,Products!A:A,Products!E:E)</f>
        <v>700</v>
      </c>
      <c r="P241" s="2">
        <f>_xlfn.XLOOKUP(D241,Products!A:A,Products!F:F)</f>
        <v>1500</v>
      </c>
      <c r="Q241" s="11">
        <f t="shared" si="15"/>
        <v>5043.3133253301303</v>
      </c>
      <c r="R241" s="11">
        <f t="shared" si="16"/>
        <v>539.25309875210485</v>
      </c>
      <c r="S241" s="11">
        <f t="shared" si="17"/>
        <v>4504.0602265780253</v>
      </c>
      <c r="T241" s="11">
        <f t="shared" si="18"/>
        <v>2353.5462184873941</v>
      </c>
      <c r="U241" s="11">
        <f t="shared" si="19"/>
        <v>2150.5140080906313</v>
      </c>
    </row>
    <row r="242" spans="1:21" x14ac:dyDescent="0.3">
      <c r="A242" s="2" t="s">
        <v>294</v>
      </c>
      <c r="B242" s="6">
        <v>46137</v>
      </c>
      <c r="C242" s="2" t="s">
        <v>32</v>
      </c>
      <c r="D242" s="2" t="s">
        <v>55</v>
      </c>
      <c r="E242" s="2" t="s">
        <v>38</v>
      </c>
      <c r="F242" s="2" t="s">
        <v>39</v>
      </c>
      <c r="G242" s="2" t="s">
        <v>16</v>
      </c>
      <c r="H242" s="11">
        <v>3.36576230492197</v>
      </c>
      <c r="I242" s="7">
        <v>0.107072268907563</v>
      </c>
      <c r="J242" s="11">
        <v>2.0626170468187301</v>
      </c>
      <c r="K242" s="2" t="s">
        <v>17</v>
      </c>
      <c r="L242" s="2" t="str">
        <f>_xlfn.XLOOKUP(D242,Products!A:A,Products!B:B)</f>
        <v>Sports Shoes</v>
      </c>
      <c r="M242" s="2" t="str">
        <f>_xlfn.XLOOKUP(D242,Products!A:A,Products!C:C)</f>
        <v>Sports</v>
      </c>
      <c r="N242" s="2" t="str">
        <f>_xlfn.XLOOKUP(D242,Products!A:A,Products!D:D)</f>
        <v>Nike</v>
      </c>
      <c r="O242" s="2">
        <f>_xlfn.XLOOKUP(D242,Products!A:A,Products!E:E)</f>
        <v>2200</v>
      </c>
      <c r="P242" s="2">
        <f>_xlfn.XLOOKUP(D242,Products!A:A,Products!F:F)</f>
        <v>4500</v>
      </c>
      <c r="Q242" s="11">
        <f t="shared" si="15"/>
        <v>15145.930372148865</v>
      </c>
      <c r="R242" s="11">
        <f t="shared" si="16"/>
        <v>1621.709129661949</v>
      </c>
      <c r="S242" s="11">
        <f t="shared" si="17"/>
        <v>13524.221242486916</v>
      </c>
      <c r="T242" s="11">
        <f t="shared" si="18"/>
        <v>7404.6770708283339</v>
      </c>
      <c r="U242" s="11">
        <f t="shared" si="19"/>
        <v>6119.5441716585819</v>
      </c>
    </row>
    <row r="243" spans="1:21" x14ac:dyDescent="0.3">
      <c r="A243" s="2" t="s">
        <v>295</v>
      </c>
      <c r="B243" s="6">
        <v>46137</v>
      </c>
      <c r="C243" s="2" t="s">
        <v>34</v>
      </c>
      <c r="D243" s="2" t="s">
        <v>58</v>
      </c>
      <c r="E243" s="2" t="s">
        <v>44</v>
      </c>
      <c r="F243" s="2" t="s">
        <v>41</v>
      </c>
      <c r="G243" s="2" t="s">
        <v>23</v>
      </c>
      <c r="H243" s="11">
        <v>3.3693157262905098</v>
      </c>
      <c r="I243" s="7">
        <v>0.10722016806722701</v>
      </c>
      <c r="J243" s="11">
        <v>2.0505642256902799</v>
      </c>
      <c r="K243" s="2" t="s">
        <v>30</v>
      </c>
      <c r="L243" s="2" t="str">
        <f>_xlfn.XLOOKUP(D243,Products!A:A,Products!B:B)</f>
        <v>Study Table</v>
      </c>
      <c r="M243" s="2" t="str">
        <f>_xlfn.XLOOKUP(D243,Products!A:A,Products!C:C)</f>
        <v>Furniture</v>
      </c>
      <c r="N243" s="2" t="str">
        <f>_xlfn.XLOOKUP(D243,Products!A:A,Products!D:D)</f>
        <v>Ikea</v>
      </c>
      <c r="O243" s="2">
        <f>_xlfn.XLOOKUP(D243,Products!A:A,Products!E:E)</f>
        <v>5000</v>
      </c>
      <c r="P243" s="2">
        <f>_xlfn.XLOOKUP(D243,Products!A:A,Products!F:F)</f>
        <v>8500</v>
      </c>
      <c r="Q243" s="11">
        <f t="shared" si="15"/>
        <v>28639.183673469332</v>
      </c>
      <c r="R243" s="11">
        <f t="shared" si="16"/>
        <v>3070.6980867775655</v>
      </c>
      <c r="S243" s="11">
        <f t="shared" si="17"/>
        <v>25568.485586691764</v>
      </c>
      <c r="T243" s="11">
        <f t="shared" si="18"/>
        <v>16846.57863145255</v>
      </c>
      <c r="U243" s="11">
        <f t="shared" si="19"/>
        <v>8721.9069552392139</v>
      </c>
    </row>
    <row r="244" spans="1:21" x14ac:dyDescent="0.3">
      <c r="A244" s="2" t="s">
        <v>296</v>
      </c>
      <c r="B244" s="6">
        <v>46113</v>
      </c>
      <c r="C244" s="2" t="s">
        <v>12</v>
      </c>
      <c r="D244" s="2" t="s">
        <v>13</v>
      </c>
      <c r="E244" s="2" t="s">
        <v>14</v>
      </c>
      <c r="F244" s="2" t="s">
        <v>15</v>
      </c>
      <c r="G244" s="2" t="s">
        <v>16</v>
      </c>
      <c r="H244" s="11">
        <v>3.3728691476590602</v>
      </c>
      <c r="I244" s="7">
        <v>0.107368067226891</v>
      </c>
      <c r="J244" s="11">
        <v>2.0385114045618198</v>
      </c>
      <c r="K244" s="2" t="s">
        <v>17</v>
      </c>
      <c r="L244" s="2" t="str">
        <f>_xlfn.XLOOKUP(D244,Products!A:A,Products!B:B)</f>
        <v>Laptop</v>
      </c>
      <c r="M244" s="2" t="str">
        <f>_xlfn.XLOOKUP(D244,Products!A:A,Products!C:C)</f>
        <v>Electronics</v>
      </c>
      <c r="N244" s="2" t="str">
        <f>_xlfn.XLOOKUP(D244,Products!A:A,Products!D:D)</f>
        <v>HP</v>
      </c>
      <c r="O244" s="2">
        <f>_xlfn.XLOOKUP(D244,Products!A:A,Products!E:E)</f>
        <v>42000</v>
      </c>
      <c r="P244" s="2">
        <f>_xlfn.XLOOKUP(D244,Products!A:A,Products!F:F)</f>
        <v>55000</v>
      </c>
      <c r="Q244" s="11">
        <f t="shared" si="15"/>
        <v>185507.80312124832</v>
      </c>
      <c r="R244" s="11">
        <f t="shared" si="16"/>
        <v>19917.614276635049</v>
      </c>
      <c r="S244" s="11">
        <f t="shared" si="17"/>
        <v>165590.18884461327</v>
      </c>
      <c r="T244" s="11">
        <f t="shared" si="18"/>
        <v>141660.50420168054</v>
      </c>
      <c r="U244" s="11">
        <f t="shared" si="19"/>
        <v>23929.684642932727</v>
      </c>
    </row>
    <row r="245" spans="1:21" x14ac:dyDescent="0.3">
      <c r="A245" s="2" t="s">
        <v>297</v>
      </c>
      <c r="B245" s="6">
        <v>46113</v>
      </c>
      <c r="C245" s="2" t="s">
        <v>19</v>
      </c>
      <c r="D245" s="2" t="s">
        <v>20</v>
      </c>
      <c r="E245" s="2" t="s">
        <v>21</v>
      </c>
      <c r="F245" s="2" t="s">
        <v>22</v>
      </c>
      <c r="G245" s="2" t="s">
        <v>23</v>
      </c>
      <c r="H245" s="11">
        <v>3.3764225690276102</v>
      </c>
      <c r="I245" s="7">
        <v>0.107515966386555</v>
      </c>
      <c r="J245" s="11">
        <v>2.0264585834333699</v>
      </c>
      <c r="K245" s="2" t="s">
        <v>17</v>
      </c>
      <c r="L245" s="2" t="str">
        <f>_xlfn.XLOOKUP(D245,Products!A:A,Products!B:B)</f>
        <v>Jeans</v>
      </c>
      <c r="M245" s="2" t="str">
        <f>_xlfn.XLOOKUP(D245,Products!A:A,Products!C:C)</f>
        <v>Clothing</v>
      </c>
      <c r="N245" s="2" t="str">
        <f>_xlfn.XLOOKUP(D245,Products!A:A,Products!D:D)</f>
        <v>Wrangler</v>
      </c>
      <c r="O245" s="2">
        <f>_xlfn.XLOOKUP(D245,Products!A:A,Products!E:E)</f>
        <v>1100</v>
      </c>
      <c r="P245" s="2">
        <f>_xlfn.XLOOKUP(D245,Products!A:A,Products!F:F)</f>
        <v>2200</v>
      </c>
      <c r="Q245" s="11">
        <f t="shared" si="15"/>
        <v>7428.1296518607423</v>
      </c>
      <c r="R245" s="11">
        <f t="shared" si="16"/>
        <v>798.64253796443211</v>
      </c>
      <c r="S245" s="11">
        <f t="shared" si="17"/>
        <v>6629.4871138963099</v>
      </c>
      <c r="T245" s="11">
        <f t="shared" si="18"/>
        <v>3714.0648259303712</v>
      </c>
      <c r="U245" s="11">
        <f t="shared" si="19"/>
        <v>2915.4222879659387</v>
      </c>
    </row>
    <row r="246" spans="1:21" x14ac:dyDescent="0.3">
      <c r="A246" s="2" t="s">
        <v>298</v>
      </c>
      <c r="B246" s="6">
        <v>46114</v>
      </c>
      <c r="C246" s="2" t="s">
        <v>25</v>
      </c>
      <c r="D246" s="2" t="s">
        <v>26</v>
      </c>
      <c r="E246" s="2" t="s">
        <v>27</v>
      </c>
      <c r="F246" s="2" t="s">
        <v>28</v>
      </c>
      <c r="G246" s="2" t="s">
        <v>29</v>
      </c>
      <c r="H246" s="11">
        <v>3.3799759903961601</v>
      </c>
      <c r="I246" s="7">
        <v>0.107663865546219</v>
      </c>
      <c r="J246" s="11">
        <v>2.0144057623049201</v>
      </c>
      <c r="K246" s="2" t="s">
        <v>30</v>
      </c>
      <c r="L246" s="2" t="str">
        <f>_xlfn.XLOOKUP(D246,Products!A:A,Products!B:B)</f>
        <v>Face Wash</v>
      </c>
      <c r="M246" s="2" t="str">
        <f>_xlfn.XLOOKUP(D246,Products!A:A,Products!C:C)</f>
        <v>Beauty</v>
      </c>
      <c r="N246" s="2" t="str">
        <f>_xlfn.XLOOKUP(D246,Products!A:A,Products!D:D)</f>
        <v>Nivea</v>
      </c>
      <c r="O246" s="2">
        <f>_xlfn.XLOOKUP(D246,Products!A:A,Products!E:E)</f>
        <v>180</v>
      </c>
      <c r="P246" s="2">
        <f>_xlfn.XLOOKUP(D246,Products!A:A,Products!F:F)</f>
        <v>350</v>
      </c>
      <c r="Q246" s="11">
        <f t="shared" si="15"/>
        <v>1182.9915966386561</v>
      </c>
      <c r="R246" s="11">
        <f t="shared" si="16"/>
        <v>127.36544820281121</v>
      </c>
      <c r="S246" s="11">
        <f t="shared" si="17"/>
        <v>1055.6261484358449</v>
      </c>
      <c r="T246" s="11">
        <f t="shared" si="18"/>
        <v>608.39567827130884</v>
      </c>
      <c r="U246" s="11">
        <f t="shared" si="19"/>
        <v>447.23047016453609</v>
      </c>
    </row>
    <row r="247" spans="1:21" x14ac:dyDescent="0.3">
      <c r="A247" s="4" t="s">
        <v>299</v>
      </c>
      <c r="B247" s="5">
        <v>46114</v>
      </c>
      <c r="C247" s="4" t="s">
        <v>32</v>
      </c>
      <c r="D247" s="4" t="s">
        <v>37</v>
      </c>
      <c r="E247" s="4" t="s">
        <v>38</v>
      </c>
      <c r="F247" s="4" t="s">
        <v>39</v>
      </c>
      <c r="G247" s="4" t="s">
        <v>16</v>
      </c>
      <c r="H247" s="12">
        <v>3.3835294117646999</v>
      </c>
      <c r="I247" s="8">
        <v>0.107811764705882</v>
      </c>
      <c r="J247" s="12">
        <v>2.0023529411764698</v>
      </c>
      <c r="K247" s="4" t="s">
        <v>17</v>
      </c>
      <c r="L247" s="2" t="str">
        <f>_xlfn.XLOOKUP(D247,Products!A:A,Products!B:B)</f>
        <v>Headphones</v>
      </c>
      <c r="M247" s="2" t="str">
        <f>_xlfn.XLOOKUP(D247,Products!A:A,Products!C:C)</f>
        <v>Electronics</v>
      </c>
      <c r="N247" s="2" t="str">
        <f>_xlfn.XLOOKUP(D247,Products!A:A,Products!D:D)</f>
        <v>Sony</v>
      </c>
      <c r="O247" s="2">
        <f>_xlfn.XLOOKUP(D247,Products!A:A,Products!E:E)</f>
        <v>1800</v>
      </c>
      <c r="P247" s="2">
        <f>_xlfn.XLOOKUP(D247,Products!A:A,Products!F:F)</f>
        <v>3200</v>
      </c>
      <c r="Q247" s="11">
        <f t="shared" si="15"/>
        <v>10827.294117647039</v>
      </c>
      <c r="R247" s="11">
        <f t="shared" si="16"/>
        <v>1167.3096858131428</v>
      </c>
      <c r="S247" s="11">
        <f t="shared" si="17"/>
        <v>9659.9844318338965</v>
      </c>
      <c r="T247" s="11">
        <f t="shared" si="18"/>
        <v>6090.3529411764603</v>
      </c>
      <c r="U247" s="11">
        <f t="shared" si="19"/>
        <v>3569.6314906574362</v>
      </c>
    </row>
    <row r="248" spans="1:21" x14ac:dyDescent="0.3">
      <c r="A248" s="1" t="s">
        <v>300</v>
      </c>
      <c r="B248" s="9">
        <v>46115</v>
      </c>
      <c r="C248" s="1" t="s">
        <v>34</v>
      </c>
      <c r="D248" s="1" t="s">
        <v>40</v>
      </c>
      <c r="E248" s="1" t="s">
        <v>14</v>
      </c>
      <c r="F248" s="1" t="s">
        <v>41</v>
      </c>
      <c r="G248" s="1" t="s">
        <v>42</v>
      </c>
      <c r="H248" s="13">
        <v>3.3870828331332499</v>
      </c>
      <c r="I248" s="10">
        <v>0.10795966386554599</v>
      </c>
      <c r="J248" s="13">
        <v>1.9903001200480199</v>
      </c>
      <c r="K248" s="10" t="s">
        <v>17</v>
      </c>
      <c r="L248" s="2" t="str">
        <f>_xlfn.XLOOKUP(D248,Products!A:A,Products!B:B)</f>
        <v>Office Chair</v>
      </c>
      <c r="M248" s="2" t="str">
        <f>_xlfn.XLOOKUP(D248,Products!A:A,Products!C:C)</f>
        <v>Furniture</v>
      </c>
      <c r="N248" s="2" t="str">
        <f>_xlfn.XLOOKUP(D248,Products!A:A,Products!D:D)</f>
        <v>Featherlite</v>
      </c>
      <c r="O248" s="2">
        <f>_xlfn.XLOOKUP(D248,Products!A:A,Products!E:E)</f>
        <v>4500</v>
      </c>
      <c r="P248" s="2">
        <f>_xlfn.XLOOKUP(D248,Products!A:A,Products!F:F)</f>
        <v>7500</v>
      </c>
      <c r="Q248" s="11">
        <f t="shared" si="15"/>
        <v>25403.121248499374</v>
      </c>
      <c r="R248" s="11">
        <f t="shared" si="16"/>
        <v>2742.5124311237014</v>
      </c>
      <c r="S248" s="11">
        <f t="shared" si="17"/>
        <v>22660.608817375673</v>
      </c>
      <c r="T248" s="11">
        <f t="shared" si="18"/>
        <v>15241.872749099624</v>
      </c>
      <c r="U248" s="11">
        <f t="shared" si="19"/>
        <v>7418.7360682760482</v>
      </c>
    </row>
    <row r="249" spans="1:21" x14ac:dyDescent="0.3">
      <c r="A249" s="1" t="s">
        <v>301</v>
      </c>
      <c r="B249" s="9">
        <v>46115</v>
      </c>
      <c r="C249" s="1" t="s">
        <v>36</v>
      </c>
      <c r="D249" s="1" t="s">
        <v>43</v>
      </c>
      <c r="E249" s="1" t="s">
        <v>44</v>
      </c>
      <c r="F249" s="1" t="s">
        <v>15</v>
      </c>
      <c r="G249" s="1" t="s">
        <v>23</v>
      </c>
      <c r="H249" s="13">
        <v>3.3906362545017998</v>
      </c>
      <c r="I249" s="10">
        <v>0.10810756302521</v>
      </c>
      <c r="J249" s="13">
        <v>1.9782472989195701</v>
      </c>
      <c r="K249" s="10" t="s">
        <v>17</v>
      </c>
      <c r="L249" s="2" t="str">
        <f>_xlfn.XLOOKUP(D249,Products!A:A,Products!B:B)</f>
        <v>Smartphone</v>
      </c>
      <c r="M249" s="2" t="str">
        <f>_xlfn.XLOOKUP(D249,Products!A:A,Products!C:C)</f>
        <v>Electronics</v>
      </c>
      <c r="N249" s="2" t="str">
        <f>_xlfn.XLOOKUP(D249,Products!A:A,Products!D:D)</f>
        <v>Samsung</v>
      </c>
      <c r="O249" s="2">
        <f>_xlfn.XLOOKUP(D249,Products!A:A,Products!E:E)</f>
        <v>14000</v>
      </c>
      <c r="P249" s="2">
        <f>_xlfn.XLOOKUP(D249,Products!A:A,Products!F:F)</f>
        <v>22000</v>
      </c>
      <c r="Q249" s="11">
        <f t="shared" si="15"/>
        <v>74593.997599039591</v>
      </c>
      <c r="R249" s="11">
        <f t="shared" si="16"/>
        <v>8064.1752967405364</v>
      </c>
      <c r="S249" s="11">
        <f t="shared" si="17"/>
        <v>66529.822302299057</v>
      </c>
      <c r="T249" s="11">
        <f t="shared" si="18"/>
        <v>47468.907563025197</v>
      </c>
      <c r="U249" s="11">
        <f t="shared" si="19"/>
        <v>19060.91473927386</v>
      </c>
    </row>
    <row r="250" spans="1:21" x14ac:dyDescent="0.3">
      <c r="A250" s="1" t="s">
        <v>302</v>
      </c>
      <c r="B250" s="9">
        <v>46116</v>
      </c>
      <c r="C250" s="1" t="s">
        <v>46</v>
      </c>
      <c r="D250" s="1" t="s">
        <v>47</v>
      </c>
      <c r="E250" s="1" t="s">
        <v>27</v>
      </c>
      <c r="F250" s="1" t="s">
        <v>22</v>
      </c>
      <c r="G250" s="1" t="s">
        <v>16</v>
      </c>
      <c r="H250" s="13">
        <v>3.39418967587034</v>
      </c>
      <c r="I250" s="10">
        <v>0.108255462184874</v>
      </c>
      <c r="J250" s="13">
        <v>1.96619447779112</v>
      </c>
      <c r="K250" s="10" t="s">
        <v>48</v>
      </c>
      <c r="L250" s="2" t="str">
        <f>_xlfn.XLOOKUP(D250,Products!A:A,Products!B:B)</f>
        <v>Mixer Grinder</v>
      </c>
      <c r="M250" s="2" t="str">
        <f>_xlfn.XLOOKUP(D250,Products!A:A,Products!C:C)</f>
        <v>Home Appliances</v>
      </c>
      <c r="N250" s="2" t="str">
        <f>_xlfn.XLOOKUP(D250,Products!A:A,Products!D:D)</f>
        <v>Philips</v>
      </c>
      <c r="O250" s="2">
        <f>_xlfn.XLOOKUP(D250,Products!A:A,Products!E:E)</f>
        <v>2800</v>
      </c>
      <c r="P250" s="2">
        <f>_xlfn.XLOOKUP(D250,Products!A:A,Products!F:F)</f>
        <v>4800</v>
      </c>
      <c r="Q250" s="11">
        <f t="shared" si="15"/>
        <v>16292.110444177632</v>
      </c>
      <c r="R250" s="11">
        <f t="shared" si="16"/>
        <v>1763.7099461014623</v>
      </c>
      <c r="S250" s="11">
        <f t="shared" si="17"/>
        <v>14528.400498076169</v>
      </c>
      <c r="T250" s="11">
        <f t="shared" si="18"/>
        <v>9503.7310924369522</v>
      </c>
      <c r="U250" s="11">
        <f t="shared" si="19"/>
        <v>5024.6694056392171</v>
      </c>
    </row>
    <row r="251" spans="1:21" x14ac:dyDescent="0.3">
      <c r="A251" s="2" t="s">
        <v>303</v>
      </c>
      <c r="B251" s="6">
        <v>46116</v>
      </c>
      <c r="C251" s="2" t="s">
        <v>50</v>
      </c>
      <c r="D251" s="2" t="s">
        <v>51</v>
      </c>
      <c r="E251" s="2" t="s">
        <v>21</v>
      </c>
      <c r="F251" s="2" t="s">
        <v>52</v>
      </c>
      <c r="G251" s="2" t="s">
        <v>16</v>
      </c>
      <c r="H251" s="11">
        <v>3.39774309723889</v>
      </c>
      <c r="I251" s="7">
        <v>0.108403361344538</v>
      </c>
      <c r="J251" s="11">
        <v>1.9541416566626599</v>
      </c>
      <c r="K251" s="2" t="s">
        <v>17</v>
      </c>
      <c r="L251" s="2" t="str">
        <f>_xlfn.XLOOKUP(D251,Products!A:A,Products!B:B)</f>
        <v>Shirt</v>
      </c>
      <c r="M251" s="2" t="str">
        <f>_xlfn.XLOOKUP(D251,Products!A:A,Products!C:C)</f>
        <v>Clothing</v>
      </c>
      <c r="N251" s="2" t="str">
        <f>_xlfn.XLOOKUP(D251,Products!A:A,Products!D:D)</f>
        <v>Levis</v>
      </c>
      <c r="O251" s="2">
        <f>_xlfn.XLOOKUP(D251,Products!A:A,Products!E:E)</f>
        <v>700</v>
      </c>
      <c r="P251" s="2">
        <f>_xlfn.XLOOKUP(D251,Products!A:A,Products!F:F)</f>
        <v>1500</v>
      </c>
      <c r="Q251" s="11">
        <f t="shared" si="15"/>
        <v>5096.6146458583353</v>
      </c>
      <c r="R251" s="11">
        <f t="shared" si="16"/>
        <v>552.49015908884564</v>
      </c>
      <c r="S251" s="11">
        <f t="shared" si="17"/>
        <v>4544.1244867694895</v>
      </c>
      <c r="T251" s="11">
        <f t="shared" si="18"/>
        <v>2378.4201680672231</v>
      </c>
      <c r="U251" s="11">
        <f t="shared" si="19"/>
        <v>2165.7043187022664</v>
      </c>
    </row>
    <row r="252" spans="1:21" x14ac:dyDescent="0.3">
      <c r="A252" s="2" t="s">
        <v>304</v>
      </c>
      <c r="B252" s="6">
        <v>46117</v>
      </c>
      <c r="C252" s="2" t="s">
        <v>54</v>
      </c>
      <c r="D252" s="2" t="s">
        <v>55</v>
      </c>
      <c r="E252" s="2" t="s">
        <v>38</v>
      </c>
      <c r="F252" s="2" t="s">
        <v>15</v>
      </c>
      <c r="G252" s="2" t="s">
        <v>29</v>
      </c>
      <c r="H252" s="11">
        <v>3.40129651860744</v>
      </c>
      <c r="I252" s="7">
        <v>0.108551260504202</v>
      </c>
      <c r="J252" s="11">
        <v>1.9420888355342101</v>
      </c>
      <c r="K252" s="2" t="s">
        <v>30</v>
      </c>
      <c r="L252" s="2" t="str">
        <f>_xlfn.XLOOKUP(D252,Products!A:A,Products!B:B)</f>
        <v>Sports Shoes</v>
      </c>
      <c r="M252" s="2" t="str">
        <f>_xlfn.XLOOKUP(D252,Products!A:A,Products!C:C)</f>
        <v>Sports</v>
      </c>
      <c r="N252" s="2" t="str">
        <f>_xlfn.XLOOKUP(D252,Products!A:A,Products!D:D)</f>
        <v>Nike</v>
      </c>
      <c r="O252" s="2">
        <f>_xlfn.XLOOKUP(D252,Products!A:A,Products!E:E)</f>
        <v>2200</v>
      </c>
      <c r="P252" s="2">
        <f>_xlfn.XLOOKUP(D252,Products!A:A,Products!F:F)</f>
        <v>4500</v>
      </c>
      <c r="Q252" s="11">
        <f t="shared" si="15"/>
        <v>15305.834333733479</v>
      </c>
      <c r="R252" s="11">
        <f t="shared" si="16"/>
        <v>1661.4676099952619</v>
      </c>
      <c r="S252" s="11">
        <f t="shared" si="17"/>
        <v>13644.366723738218</v>
      </c>
      <c r="T252" s="11">
        <f t="shared" si="18"/>
        <v>7482.8523409363679</v>
      </c>
      <c r="U252" s="11">
        <f t="shared" si="19"/>
        <v>6161.5143828018499</v>
      </c>
    </row>
    <row r="253" spans="1:21" x14ac:dyDescent="0.3">
      <c r="A253" s="2" t="s">
        <v>305</v>
      </c>
      <c r="B253" s="6">
        <v>46117</v>
      </c>
      <c r="C253" s="2" t="s">
        <v>57</v>
      </c>
      <c r="D253" s="2" t="s">
        <v>58</v>
      </c>
      <c r="E253" s="2" t="s">
        <v>44</v>
      </c>
      <c r="F253" s="2" t="s">
        <v>41</v>
      </c>
      <c r="G253" s="2" t="s">
        <v>23</v>
      </c>
      <c r="H253" s="11">
        <v>3.4048499399759899</v>
      </c>
      <c r="I253" s="7">
        <v>0.10869915966386599</v>
      </c>
      <c r="J253" s="11">
        <v>1.93003601440576</v>
      </c>
      <c r="K253" s="2" t="s">
        <v>17</v>
      </c>
      <c r="L253" s="2" t="str">
        <f>_xlfn.XLOOKUP(D253,Products!A:A,Products!B:B)</f>
        <v>Study Table</v>
      </c>
      <c r="M253" s="2" t="str">
        <f>_xlfn.XLOOKUP(D253,Products!A:A,Products!C:C)</f>
        <v>Furniture</v>
      </c>
      <c r="N253" s="2" t="str">
        <f>_xlfn.XLOOKUP(D253,Products!A:A,Products!D:D)</f>
        <v>Ikea</v>
      </c>
      <c r="O253" s="2">
        <f>_xlfn.XLOOKUP(D253,Products!A:A,Products!E:E)</f>
        <v>5000</v>
      </c>
      <c r="P253" s="2">
        <f>_xlfn.XLOOKUP(D253,Products!A:A,Products!F:F)</f>
        <v>8500</v>
      </c>
      <c r="Q253" s="11">
        <f t="shared" si="15"/>
        <v>28941.224489795914</v>
      </c>
      <c r="R253" s="11">
        <f t="shared" si="16"/>
        <v>3145.8867816841148</v>
      </c>
      <c r="S253" s="11">
        <f t="shared" si="17"/>
        <v>25795.337708111798</v>
      </c>
      <c r="T253" s="11">
        <f t="shared" si="18"/>
        <v>17024.249699879951</v>
      </c>
      <c r="U253" s="11">
        <f t="shared" si="19"/>
        <v>8771.0880082318472</v>
      </c>
    </row>
    <row r="254" spans="1:21" x14ac:dyDescent="0.3">
      <c r="A254" s="2" t="s">
        <v>306</v>
      </c>
      <c r="B254" s="6">
        <v>46118</v>
      </c>
      <c r="C254" s="2" t="s">
        <v>60</v>
      </c>
      <c r="D254" s="2" t="s">
        <v>13</v>
      </c>
      <c r="E254" s="2" t="s">
        <v>14</v>
      </c>
      <c r="F254" s="2" t="s">
        <v>22</v>
      </c>
      <c r="G254" s="2" t="s">
        <v>16</v>
      </c>
      <c r="H254" s="11">
        <v>3.4084033613445301</v>
      </c>
      <c r="I254" s="7">
        <v>0.10884705882352901</v>
      </c>
      <c r="J254" s="11">
        <v>1.9179831932773099</v>
      </c>
      <c r="K254" s="2" t="s">
        <v>17</v>
      </c>
      <c r="L254" s="2" t="str">
        <f>_xlfn.XLOOKUP(D254,Products!A:A,Products!B:B)</f>
        <v>Laptop</v>
      </c>
      <c r="M254" s="2" t="str">
        <f>_xlfn.XLOOKUP(D254,Products!A:A,Products!C:C)</f>
        <v>Electronics</v>
      </c>
      <c r="N254" s="2" t="str">
        <f>_xlfn.XLOOKUP(D254,Products!A:A,Products!D:D)</f>
        <v>HP</v>
      </c>
      <c r="O254" s="2">
        <f>_xlfn.XLOOKUP(D254,Products!A:A,Products!E:E)</f>
        <v>42000</v>
      </c>
      <c r="P254" s="2">
        <f>_xlfn.XLOOKUP(D254,Products!A:A,Products!F:F)</f>
        <v>55000</v>
      </c>
      <c r="Q254" s="11">
        <f t="shared" si="15"/>
        <v>187462.18487394915</v>
      </c>
      <c r="R254" s="11">
        <f t="shared" si="16"/>
        <v>20404.707464162013</v>
      </c>
      <c r="S254" s="11">
        <f t="shared" si="17"/>
        <v>167057.47740978713</v>
      </c>
      <c r="T254" s="11">
        <f t="shared" si="18"/>
        <v>143152.94117647025</v>
      </c>
      <c r="U254" s="11">
        <f t="shared" si="19"/>
        <v>23904.536233316874</v>
      </c>
    </row>
    <row r="255" spans="1:21" x14ac:dyDescent="0.3">
      <c r="A255" s="2" t="s">
        <v>307</v>
      </c>
      <c r="B255" s="6">
        <v>46118</v>
      </c>
      <c r="C255" s="2" t="s">
        <v>62</v>
      </c>
      <c r="D255" s="2" t="s">
        <v>26</v>
      </c>
      <c r="E255" s="2" t="s">
        <v>27</v>
      </c>
      <c r="F255" s="2" t="s">
        <v>15</v>
      </c>
      <c r="G255" s="2" t="s">
        <v>42</v>
      </c>
      <c r="H255" s="11">
        <v>3.4119567827130801</v>
      </c>
      <c r="I255" s="7">
        <v>0.108994957983193</v>
      </c>
      <c r="J255" s="11">
        <v>1.9059303721488601</v>
      </c>
      <c r="K255" s="2" t="s">
        <v>17</v>
      </c>
      <c r="L255" s="2" t="str">
        <f>_xlfn.XLOOKUP(D255,Products!A:A,Products!B:B)</f>
        <v>Face Wash</v>
      </c>
      <c r="M255" s="2" t="str">
        <f>_xlfn.XLOOKUP(D255,Products!A:A,Products!C:C)</f>
        <v>Beauty</v>
      </c>
      <c r="N255" s="2" t="str">
        <f>_xlfn.XLOOKUP(D255,Products!A:A,Products!D:D)</f>
        <v>Nivea</v>
      </c>
      <c r="O255" s="2">
        <f>_xlfn.XLOOKUP(D255,Products!A:A,Products!E:E)</f>
        <v>180</v>
      </c>
      <c r="P255" s="2">
        <f>_xlfn.XLOOKUP(D255,Products!A:A,Products!F:F)</f>
        <v>350</v>
      </c>
      <c r="Q255" s="11">
        <f t="shared" si="15"/>
        <v>1194.1848739495781</v>
      </c>
      <c r="R255" s="11">
        <f t="shared" si="16"/>
        <v>130.16013016029891</v>
      </c>
      <c r="S255" s="11">
        <f t="shared" si="17"/>
        <v>1064.0247437892792</v>
      </c>
      <c r="T255" s="11">
        <f t="shared" si="18"/>
        <v>614.15222088835446</v>
      </c>
      <c r="U255" s="11">
        <f t="shared" si="19"/>
        <v>449.87252290092476</v>
      </c>
    </row>
    <row r="256" spans="1:21" x14ac:dyDescent="0.3">
      <c r="A256" s="2" t="s">
        <v>308</v>
      </c>
      <c r="B256" s="6">
        <v>46119</v>
      </c>
      <c r="C256" s="2" t="s">
        <v>64</v>
      </c>
      <c r="D256" s="2" t="s">
        <v>20</v>
      </c>
      <c r="E256" s="2" t="s">
        <v>21</v>
      </c>
      <c r="F256" s="2" t="s">
        <v>39</v>
      </c>
      <c r="G256" s="2" t="s">
        <v>23</v>
      </c>
      <c r="H256" s="11">
        <v>3.4155102040816301</v>
      </c>
      <c r="I256" s="7">
        <v>0.109142857142857</v>
      </c>
      <c r="J256" s="11">
        <v>1.89387755102041</v>
      </c>
      <c r="K256" s="2" t="s">
        <v>17</v>
      </c>
      <c r="L256" s="2" t="str">
        <f>_xlfn.XLOOKUP(D256,Products!A:A,Products!B:B)</f>
        <v>Jeans</v>
      </c>
      <c r="M256" s="2" t="str">
        <f>_xlfn.XLOOKUP(D256,Products!A:A,Products!C:C)</f>
        <v>Clothing</v>
      </c>
      <c r="N256" s="2" t="str">
        <f>_xlfn.XLOOKUP(D256,Products!A:A,Products!D:D)</f>
        <v>Wrangler</v>
      </c>
      <c r="O256" s="2">
        <f>_xlfn.XLOOKUP(D256,Products!A:A,Products!E:E)</f>
        <v>1100</v>
      </c>
      <c r="P256" s="2">
        <f>_xlfn.XLOOKUP(D256,Products!A:A,Products!F:F)</f>
        <v>2200</v>
      </c>
      <c r="Q256" s="11">
        <f t="shared" si="15"/>
        <v>7514.1224489795859</v>
      </c>
      <c r="R256" s="11">
        <f t="shared" si="16"/>
        <v>820.11279300291369</v>
      </c>
      <c r="S256" s="11">
        <f t="shared" si="17"/>
        <v>6694.0096559766725</v>
      </c>
      <c r="T256" s="11">
        <f t="shared" si="18"/>
        <v>3757.0612244897929</v>
      </c>
      <c r="U256" s="11">
        <f t="shared" si="19"/>
        <v>2936.9484314868796</v>
      </c>
    </row>
    <row r="257" spans="1:21" x14ac:dyDescent="0.3">
      <c r="A257" s="2" t="s">
        <v>309</v>
      </c>
      <c r="B257" s="6">
        <v>46119</v>
      </c>
      <c r="C257" s="2" t="s">
        <v>66</v>
      </c>
      <c r="D257" s="2" t="s">
        <v>37</v>
      </c>
      <c r="E257" s="2" t="s">
        <v>38</v>
      </c>
      <c r="F257" s="2" t="s">
        <v>15</v>
      </c>
      <c r="G257" s="2" t="s">
        <v>16</v>
      </c>
      <c r="H257" s="11">
        <v>3.4190636254501801</v>
      </c>
      <c r="I257" s="7">
        <v>0.109290756302521</v>
      </c>
      <c r="J257" s="11">
        <v>1.8818247298919599</v>
      </c>
      <c r="K257" s="2" t="s">
        <v>17</v>
      </c>
      <c r="L257" s="2" t="str">
        <f>_xlfn.XLOOKUP(D257,Products!A:A,Products!B:B)</f>
        <v>Headphones</v>
      </c>
      <c r="M257" s="2" t="str">
        <f>_xlfn.XLOOKUP(D257,Products!A:A,Products!C:C)</f>
        <v>Electronics</v>
      </c>
      <c r="N257" s="2" t="str">
        <f>_xlfn.XLOOKUP(D257,Products!A:A,Products!D:D)</f>
        <v>Sony</v>
      </c>
      <c r="O257" s="2">
        <f>_xlfn.XLOOKUP(D257,Products!A:A,Products!E:E)</f>
        <v>1800</v>
      </c>
      <c r="P257" s="2">
        <f>_xlfn.XLOOKUP(D257,Products!A:A,Products!F:F)</f>
        <v>3200</v>
      </c>
      <c r="Q257" s="11">
        <f t="shared" si="15"/>
        <v>10941.003601440576</v>
      </c>
      <c r="R257" s="11">
        <f t="shared" si="16"/>
        <v>1195.7505583100465</v>
      </c>
      <c r="S257" s="11">
        <f t="shared" si="17"/>
        <v>9745.2530431305295</v>
      </c>
      <c r="T257" s="11">
        <f t="shared" si="18"/>
        <v>6154.3145258103241</v>
      </c>
      <c r="U257" s="11">
        <f t="shared" si="19"/>
        <v>3590.9385173202054</v>
      </c>
    </row>
    <row r="258" spans="1:21" x14ac:dyDescent="0.3">
      <c r="A258" s="2" t="s">
        <v>310</v>
      </c>
      <c r="B258" s="6">
        <v>46113</v>
      </c>
      <c r="C258" s="2" t="s">
        <v>12</v>
      </c>
      <c r="D258" s="2" t="s">
        <v>13</v>
      </c>
      <c r="E258" s="2" t="s">
        <v>14</v>
      </c>
      <c r="F258" s="2" t="s">
        <v>15</v>
      </c>
      <c r="G258" s="2" t="s">
        <v>16</v>
      </c>
      <c r="H258" s="11">
        <v>3.4226170468187198</v>
      </c>
      <c r="I258" s="7">
        <v>0.10943865546218499</v>
      </c>
      <c r="J258" s="11">
        <v>1.8697719087635101</v>
      </c>
      <c r="K258" s="2" t="s">
        <v>17</v>
      </c>
      <c r="L258" s="2" t="str">
        <f>_xlfn.XLOOKUP(D258,Products!A:A,Products!B:B)</f>
        <v>Laptop</v>
      </c>
      <c r="M258" s="2" t="str">
        <f>_xlfn.XLOOKUP(D258,Products!A:A,Products!C:C)</f>
        <v>Electronics</v>
      </c>
      <c r="N258" s="2" t="str">
        <f>_xlfn.XLOOKUP(D258,Products!A:A,Products!D:D)</f>
        <v>HP</v>
      </c>
      <c r="O258" s="2">
        <f>_xlfn.XLOOKUP(D258,Products!A:A,Products!E:E)</f>
        <v>42000</v>
      </c>
      <c r="P258" s="2">
        <f>_xlfn.XLOOKUP(D258,Products!A:A,Products!F:F)</f>
        <v>55000</v>
      </c>
      <c r="Q258" s="11">
        <f t="shared" si="15"/>
        <v>188243.93757502959</v>
      </c>
      <c r="R258" s="11">
        <f t="shared" si="16"/>
        <v>20601.163427118721</v>
      </c>
      <c r="S258" s="11">
        <f t="shared" si="17"/>
        <v>167642.77414791088</v>
      </c>
      <c r="T258" s="11">
        <f t="shared" si="18"/>
        <v>143749.91596638624</v>
      </c>
      <c r="U258" s="11">
        <f t="shared" si="19"/>
        <v>23892.858181524643</v>
      </c>
    </row>
    <row r="259" spans="1:21" x14ac:dyDescent="0.3">
      <c r="A259" s="2" t="s">
        <v>311</v>
      </c>
      <c r="B259" s="6">
        <v>46113</v>
      </c>
      <c r="C259" s="2" t="s">
        <v>19</v>
      </c>
      <c r="D259" s="2" t="s">
        <v>20</v>
      </c>
      <c r="E259" s="2" t="s">
        <v>21</v>
      </c>
      <c r="F259" s="2" t="s">
        <v>22</v>
      </c>
      <c r="G259" s="2" t="s">
        <v>23</v>
      </c>
      <c r="H259" s="11">
        <v>3.4261704681872698</v>
      </c>
      <c r="I259" s="7">
        <v>0.10958655462184901</v>
      </c>
      <c r="J259" s="11">
        <v>1.85771908763505</v>
      </c>
      <c r="K259" s="2" t="s">
        <v>17</v>
      </c>
      <c r="L259" s="2" t="str">
        <f>_xlfn.XLOOKUP(D259,Products!A:A,Products!B:B)</f>
        <v>Jeans</v>
      </c>
      <c r="M259" s="2" t="str">
        <f>_xlfn.XLOOKUP(D259,Products!A:A,Products!C:C)</f>
        <v>Clothing</v>
      </c>
      <c r="N259" s="2" t="str">
        <f>_xlfn.XLOOKUP(D259,Products!A:A,Products!D:D)</f>
        <v>Wrangler</v>
      </c>
      <c r="O259" s="2">
        <f>_xlfn.XLOOKUP(D259,Products!A:A,Products!E:E)</f>
        <v>1100</v>
      </c>
      <c r="P259" s="2">
        <f>_xlfn.XLOOKUP(D259,Products!A:A,Products!F:F)</f>
        <v>2200</v>
      </c>
      <c r="Q259" s="11">
        <f t="shared" ref="Q259:Q322" si="20">H259*P259</f>
        <v>7537.5750300119935</v>
      </c>
      <c r="R259" s="11">
        <f t="shared" ref="R259:R322" si="21">Q259*I259</f>
        <v>826.01687774269453</v>
      </c>
      <c r="S259" s="11">
        <f t="shared" ref="S259:S322" si="22">Q259-R259</f>
        <v>6711.5581522692992</v>
      </c>
      <c r="T259" s="11">
        <f t="shared" ref="T259:T322" si="23">H259*O259</f>
        <v>3768.7875150059967</v>
      </c>
      <c r="U259" s="11">
        <f t="shared" ref="U259:U322" si="24">S259-T259</f>
        <v>2942.7706372633024</v>
      </c>
    </row>
    <row r="260" spans="1:21" x14ac:dyDescent="0.3">
      <c r="A260" s="2" t="s">
        <v>312</v>
      </c>
      <c r="B260" s="6">
        <v>46114</v>
      </c>
      <c r="C260" s="2" t="s">
        <v>25</v>
      </c>
      <c r="D260" s="2" t="s">
        <v>26</v>
      </c>
      <c r="E260" s="2" t="s">
        <v>27</v>
      </c>
      <c r="F260" s="2" t="s">
        <v>28</v>
      </c>
      <c r="G260" s="2" t="s">
        <v>29</v>
      </c>
      <c r="H260" s="11">
        <v>3.4297238895558202</v>
      </c>
      <c r="I260" s="7">
        <v>0.109734453781513</v>
      </c>
      <c r="J260" s="11">
        <v>1.8456662665065999</v>
      </c>
      <c r="K260" s="2" t="s">
        <v>30</v>
      </c>
      <c r="L260" s="2" t="str">
        <f>_xlfn.XLOOKUP(D260,Products!A:A,Products!B:B)</f>
        <v>Face Wash</v>
      </c>
      <c r="M260" s="2" t="str">
        <f>_xlfn.XLOOKUP(D260,Products!A:A,Products!C:C)</f>
        <v>Beauty</v>
      </c>
      <c r="N260" s="2" t="str">
        <f>_xlfn.XLOOKUP(D260,Products!A:A,Products!D:D)</f>
        <v>Nivea</v>
      </c>
      <c r="O260" s="2">
        <f>_xlfn.XLOOKUP(D260,Products!A:A,Products!E:E)</f>
        <v>180</v>
      </c>
      <c r="P260" s="2">
        <f>_xlfn.XLOOKUP(D260,Products!A:A,Products!F:F)</f>
        <v>350</v>
      </c>
      <c r="Q260" s="11">
        <f t="shared" si="20"/>
        <v>1200.403361344537</v>
      </c>
      <c r="R260" s="11">
        <f t="shared" si="21"/>
        <v>131.72560717463494</v>
      </c>
      <c r="S260" s="11">
        <f t="shared" si="22"/>
        <v>1068.6777541699021</v>
      </c>
      <c r="T260" s="11">
        <f t="shared" si="23"/>
        <v>617.35030012004768</v>
      </c>
      <c r="U260" s="11">
        <f t="shared" si="24"/>
        <v>451.3274540498544</v>
      </c>
    </row>
    <row r="261" spans="1:21" x14ac:dyDescent="0.3">
      <c r="A261" s="4" t="s">
        <v>313</v>
      </c>
      <c r="B261" s="5">
        <v>46114</v>
      </c>
      <c r="C261" s="4" t="s">
        <v>32</v>
      </c>
      <c r="D261" s="4" t="s">
        <v>37</v>
      </c>
      <c r="E261" s="4" t="s">
        <v>38</v>
      </c>
      <c r="F261" s="4" t="s">
        <v>39</v>
      </c>
      <c r="G261" s="4" t="s">
        <v>16</v>
      </c>
      <c r="H261" s="12">
        <v>3.4332773109243702</v>
      </c>
      <c r="I261" s="8">
        <v>0.109882352941176</v>
      </c>
      <c r="J261" s="12">
        <v>1.8336134453781501</v>
      </c>
      <c r="K261" s="4" t="s">
        <v>17</v>
      </c>
      <c r="L261" s="2" t="str">
        <f>_xlfn.XLOOKUP(D261,Products!A:A,Products!B:B)</f>
        <v>Headphones</v>
      </c>
      <c r="M261" s="2" t="str">
        <f>_xlfn.XLOOKUP(D261,Products!A:A,Products!C:C)</f>
        <v>Electronics</v>
      </c>
      <c r="N261" s="2" t="str">
        <f>_xlfn.XLOOKUP(D261,Products!A:A,Products!D:D)</f>
        <v>Sony</v>
      </c>
      <c r="O261" s="2">
        <f>_xlfn.XLOOKUP(D261,Products!A:A,Products!E:E)</f>
        <v>1800</v>
      </c>
      <c r="P261" s="2">
        <f>_xlfn.XLOOKUP(D261,Products!A:A,Products!F:F)</f>
        <v>3200</v>
      </c>
      <c r="Q261" s="11">
        <f t="shared" si="20"/>
        <v>10986.487394957985</v>
      </c>
      <c r="R261" s="11">
        <f t="shared" si="21"/>
        <v>1207.2210855165547</v>
      </c>
      <c r="S261" s="11">
        <f t="shared" si="22"/>
        <v>9779.2663094414311</v>
      </c>
      <c r="T261" s="11">
        <f t="shared" si="23"/>
        <v>6179.8991596638662</v>
      </c>
      <c r="U261" s="11">
        <f t="shared" si="24"/>
        <v>3599.3671497775649</v>
      </c>
    </row>
    <row r="262" spans="1:21" x14ac:dyDescent="0.3">
      <c r="A262" s="1" t="s">
        <v>314</v>
      </c>
      <c r="B262" s="9">
        <v>46115</v>
      </c>
      <c r="C262" s="1" t="s">
        <v>34</v>
      </c>
      <c r="D262" s="1" t="s">
        <v>40</v>
      </c>
      <c r="E262" s="1" t="s">
        <v>14</v>
      </c>
      <c r="F262" s="1" t="s">
        <v>41</v>
      </c>
      <c r="G262" s="1" t="s">
        <v>42</v>
      </c>
      <c r="H262" s="13">
        <v>3.4368307322929099</v>
      </c>
      <c r="I262" s="10">
        <v>0.11003025210084</v>
      </c>
      <c r="J262" s="13">
        <v>1.8215606242497</v>
      </c>
      <c r="K262" s="10" t="s">
        <v>17</v>
      </c>
      <c r="L262" s="2" t="str">
        <f>_xlfn.XLOOKUP(D262,Products!A:A,Products!B:B)</f>
        <v>Office Chair</v>
      </c>
      <c r="M262" s="2" t="str">
        <f>_xlfn.XLOOKUP(D262,Products!A:A,Products!C:C)</f>
        <v>Furniture</v>
      </c>
      <c r="N262" s="2" t="str">
        <f>_xlfn.XLOOKUP(D262,Products!A:A,Products!D:D)</f>
        <v>Featherlite</v>
      </c>
      <c r="O262" s="2">
        <f>_xlfn.XLOOKUP(D262,Products!A:A,Products!E:E)</f>
        <v>4500</v>
      </c>
      <c r="P262" s="2">
        <f>_xlfn.XLOOKUP(D262,Products!A:A,Products!F:F)</f>
        <v>7500</v>
      </c>
      <c r="Q262" s="11">
        <f t="shared" si="20"/>
        <v>25776.230492196824</v>
      </c>
      <c r="R262" s="11">
        <f t="shared" si="21"/>
        <v>2836.1651392657755</v>
      </c>
      <c r="S262" s="11">
        <f t="shared" si="22"/>
        <v>22940.065352931048</v>
      </c>
      <c r="T262" s="11">
        <f t="shared" si="23"/>
        <v>15465.738295318095</v>
      </c>
      <c r="U262" s="11">
        <f t="shared" si="24"/>
        <v>7474.3270576129526</v>
      </c>
    </row>
    <row r="263" spans="1:21" x14ac:dyDescent="0.3">
      <c r="A263" s="1" t="s">
        <v>315</v>
      </c>
      <c r="B263" s="9">
        <v>46115</v>
      </c>
      <c r="C263" s="1" t="s">
        <v>36</v>
      </c>
      <c r="D263" s="1" t="s">
        <v>43</v>
      </c>
      <c r="E263" s="1" t="s">
        <v>44</v>
      </c>
      <c r="F263" s="1" t="s">
        <v>15</v>
      </c>
      <c r="G263" s="1" t="s">
        <v>23</v>
      </c>
      <c r="H263" s="13">
        <v>3.4403841536614599</v>
      </c>
      <c r="I263" s="10">
        <v>0.110178151260504</v>
      </c>
      <c r="J263" s="13">
        <v>1.8095078031212499</v>
      </c>
      <c r="K263" s="10" t="s">
        <v>17</v>
      </c>
      <c r="L263" s="2" t="str">
        <f>_xlfn.XLOOKUP(D263,Products!A:A,Products!B:B)</f>
        <v>Smartphone</v>
      </c>
      <c r="M263" s="2" t="str">
        <f>_xlfn.XLOOKUP(D263,Products!A:A,Products!C:C)</f>
        <v>Electronics</v>
      </c>
      <c r="N263" s="2" t="str">
        <f>_xlfn.XLOOKUP(D263,Products!A:A,Products!D:D)</f>
        <v>Samsung</v>
      </c>
      <c r="O263" s="2">
        <f>_xlfn.XLOOKUP(D263,Products!A:A,Products!E:E)</f>
        <v>14000</v>
      </c>
      <c r="P263" s="2">
        <f>_xlfn.XLOOKUP(D263,Products!A:A,Products!F:F)</f>
        <v>22000</v>
      </c>
      <c r="Q263" s="11">
        <f t="shared" si="20"/>
        <v>75688.451380552113</v>
      </c>
      <c r="R263" s="11">
        <f t="shared" si="21"/>
        <v>8339.2136448797737</v>
      </c>
      <c r="S263" s="11">
        <f t="shared" si="22"/>
        <v>67349.237735672345</v>
      </c>
      <c r="T263" s="11">
        <f t="shared" si="23"/>
        <v>48165.37815126044</v>
      </c>
      <c r="U263" s="11">
        <f t="shared" si="24"/>
        <v>19183.859584411905</v>
      </c>
    </row>
    <row r="264" spans="1:21" x14ac:dyDescent="0.3">
      <c r="A264" s="1" t="s">
        <v>316</v>
      </c>
      <c r="B264" s="9">
        <v>46116</v>
      </c>
      <c r="C264" s="1" t="s">
        <v>46</v>
      </c>
      <c r="D264" s="1" t="s">
        <v>47</v>
      </c>
      <c r="E264" s="1" t="s">
        <v>27</v>
      </c>
      <c r="F264" s="1" t="s">
        <v>22</v>
      </c>
      <c r="G264" s="1" t="s">
        <v>16</v>
      </c>
      <c r="H264" s="13">
        <v>3.4439375750300099</v>
      </c>
      <c r="I264" s="10">
        <v>0.11032605042016801</v>
      </c>
      <c r="J264" s="13">
        <v>1.7974549819928001</v>
      </c>
      <c r="K264" s="10" t="s">
        <v>48</v>
      </c>
      <c r="L264" s="2" t="str">
        <f>_xlfn.XLOOKUP(D264,Products!A:A,Products!B:B)</f>
        <v>Mixer Grinder</v>
      </c>
      <c r="M264" s="2" t="str">
        <f>_xlfn.XLOOKUP(D264,Products!A:A,Products!C:C)</f>
        <v>Home Appliances</v>
      </c>
      <c r="N264" s="2" t="str">
        <f>_xlfn.XLOOKUP(D264,Products!A:A,Products!D:D)</f>
        <v>Philips</v>
      </c>
      <c r="O264" s="2">
        <f>_xlfn.XLOOKUP(D264,Products!A:A,Products!E:E)</f>
        <v>2800</v>
      </c>
      <c r="P264" s="2">
        <f>_xlfn.XLOOKUP(D264,Products!A:A,Products!F:F)</f>
        <v>4800</v>
      </c>
      <c r="Q264" s="11">
        <f t="shared" si="20"/>
        <v>16530.900360144049</v>
      </c>
      <c r="R264" s="11">
        <f t="shared" si="21"/>
        <v>1823.7889466240258</v>
      </c>
      <c r="S264" s="11">
        <f t="shared" si="22"/>
        <v>14707.111413520022</v>
      </c>
      <c r="T264" s="11">
        <f t="shared" si="23"/>
        <v>9643.025210084028</v>
      </c>
      <c r="U264" s="11">
        <f t="shared" si="24"/>
        <v>5064.0862034359943</v>
      </c>
    </row>
    <row r="265" spans="1:21" x14ac:dyDescent="0.3">
      <c r="A265" s="2" t="s">
        <v>317</v>
      </c>
      <c r="B265" s="6">
        <v>46116</v>
      </c>
      <c r="C265" s="2" t="s">
        <v>50</v>
      </c>
      <c r="D265" s="2" t="s">
        <v>51</v>
      </c>
      <c r="E265" s="2" t="s">
        <v>21</v>
      </c>
      <c r="F265" s="2" t="s">
        <v>52</v>
      </c>
      <c r="G265" s="2" t="s">
        <v>16</v>
      </c>
      <c r="H265" s="11">
        <v>3.4474909963985501</v>
      </c>
      <c r="I265" s="7">
        <v>0.110473949579832</v>
      </c>
      <c r="J265" s="11">
        <v>1.78540216086435</v>
      </c>
      <c r="K265" s="2" t="s">
        <v>17</v>
      </c>
      <c r="L265" s="2" t="str">
        <f>_xlfn.XLOOKUP(D265,Products!A:A,Products!B:B)</f>
        <v>Shirt</v>
      </c>
      <c r="M265" s="2" t="str">
        <f>_xlfn.XLOOKUP(D265,Products!A:A,Products!C:C)</f>
        <v>Clothing</v>
      </c>
      <c r="N265" s="2" t="str">
        <f>_xlfn.XLOOKUP(D265,Products!A:A,Products!D:D)</f>
        <v>Levis</v>
      </c>
      <c r="O265" s="2">
        <f>_xlfn.XLOOKUP(D265,Products!A:A,Products!E:E)</f>
        <v>700</v>
      </c>
      <c r="P265" s="2">
        <f>_xlfn.XLOOKUP(D265,Products!A:A,Products!F:F)</f>
        <v>1500</v>
      </c>
      <c r="Q265" s="11">
        <f t="shared" si="20"/>
        <v>5171.2364945978252</v>
      </c>
      <c r="R265" s="11">
        <f t="shared" si="21"/>
        <v>571.28691976958737</v>
      </c>
      <c r="S265" s="11">
        <f t="shared" si="22"/>
        <v>4599.9495748282379</v>
      </c>
      <c r="T265" s="11">
        <f t="shared" si="23"/>
        <v>2413.2436974789848</v>
      </c>
      <c r="U265" s="11">
        <f t="shared" si="24"/>
        <v>2186.7058773492531</v>
      </c>
    </row>
    <row r="266" spans="1:21" x14ac:dyDescent="0.3">
      <c r="A266" s="2" t="s">
        <v>318</v>
      </c>
      <c r="B266" s="6">
        <v>46117</v>
      </c>
      <c r="C266" s="2" t="s">
        <v>54</v>
      </c>
      <c r="D266" s="2" t="s">
        <v>55</v>
      </c>
      <c r="E266" s="2" t="s">
        <v>38</v>
      </c>
      <c r="F266" s="2" t="s">
        <v>15</v>
      </c>
      <c r="G266" s="2" t="s">
        <v>29</v>
      </c>
      <c r="H266" s="11">
        <v>3.4510444177671</v>
      </c>
      <c r="I266" s="7">
        <v>0.110621848739496</v>
      </c>
      <c r="J266" s="11">
        <v>1.7733493397358899</v>
      </c>
      <c r="K266" s="2" t="s">
        <v>30</v>
      </c>
      <c r="L266" s="2" t="str">
        <f>_xlfn.XLOOKUP(D266,Products!A:A,Products!B:B)</f>
        <v>Sports Shoes</v>
      </c>
      <c r="M266" s="2" t="str">
        <f>_xlfn.XLOOKUP(D266,Products!A:A,Products!C:C)</f>
        <v>Sports</v>
      </c>
      <c r="N266" s="2" t="str">
        <f>_xlfn.XLOOKUP(D266,Products!A:A,Products!D:D)</f>
        <v>Nike</v>
      </c>
      <c r="O266" s="2">
        <f>_xlfn.XLOOKUP(D266,Products!A:A,Products!E:E)</f>
        <v>2200</v>
      </c>
      <c r="P266" s="2">
        <f>_xlfn.XLOOKUP(D266,Products!A:A,Products!F:F)</f>
        <v>4500</v>
      </c>
      <c r="Q266" s="11">
        <f t="shared" si="20"/>
        <v>15529.69987995195</v>
      </c>
      <c r="R266" s="11">
        <f t="shared" si="21"/>
        <v>1717.9241110898138</v>
      </c>
      <c r="S266" s="11">
        <f t="shared" si="22"/>
        <v>13811.775768862135</v>
      </c>
      <c r="T266" s="11">
        <f t="shared" si="23"/>
        <v>7592.29771908762</v>
      </c>
      <c r="U266" s="11">
        <f t="shared" si="24"/>
        <v>6219.4780497745151</v>
      </c>
    </row>
    <row r="267" spans="1:21" x14ac:dyDescent="0.3">
      <c r="A267" s="2" t="s">
        <v>319</v>
      </c>
      <c r="B267" s="6">
        <v>46117</v>
      </c>
      <c r="C267" s="2" t="s">
        <v>57</v>
      </c>
      <c r="D267" s="2" t="s">
        <v>58</v>
      </c>
      <c r="E267" s="2" t="s">
        <v>44</v>
      </c>
      <c r="F267" s="2" t="s">
        <v>41</v>
      </c>
      <c r="G267" s="2" t="s">
        <v>23</v>
      </c>
      <c r="H267" s="11">
        <v>3.45459783913565</v>
      </c>
      <c r="I267" s="7">
        <v>0.11076974789916</v>
      </c>
      <c r="J267" s="11">
        <v>1.7612965186074401</v>
      </c>
      <c r="K267" s="2" t="s">
        <v>17</v>
      </c>
      <c r="L267" s="2" t="str">
        <f>_xlfn.XLOOKUP(D267,Products!A:A,Products!B:B)</f>
        <v>Study Table</v>
      </c>
      <c r="M267" s="2" t="str">
        <f>_xlfn.XLOOKUP(D267,Products!A:A,Products!C:C)</f>
        <v>Furniture</v>
      </c>
      <c r="N267" s="2" t="str">
        <f>_xlfn.XLOOKUP(D267,Products!A:A,Products!D:D)</f>
        <v>Ikea</v>
      </c>
      <c r="O267" s="2">
        <f>_xlfn.XLOOKUP(D267,Products!A:A,Products!E:E)</f>
        <v>5000</v>
      </c>
      <c r="P267" s="2">
        <f>_xlfn.XLOOKUP(D267,Products!A:A,Products!F:F)</f>
        <v>8500</v>
      </c>
      <c r="Q267" s="11">
        <f t="shared" si="20"/>
        <v>29364.081632653026</v>
      </c>
      <c r="R267" s="11">
        <f t="shared" si="21"/>
        <v>3252.65191973933</v>
      </c>
      <c r="S267" s="11">
        <f t="shared" si="22"/>
        <v>26111.429712913698</v>
      </c>
      <c r="T267" s="11">
        <f t="shared" si="23"/>
        <v>17272.989195678249</v>
      </c>
      <c r="U267" s="11">
        <f t="shared" si="24"/>
        <v>8838.4405172354491</v>
      </c>
    </row>
    <row r="268" spans="1:21" x14ac:dyDescent="0.3">
      <c r="A268" s="2" t="s">
        <v>320</v>
      </c>
      <c r="B268" s="6">
        <v>46118</v>
      </c>
      <c r="C268" s="2" t="s">
        <v>60</v>
      </c>
      <c r="D268" s="2" t="s">
        <v>13</v>
      </c>
      <c r="E268" s="2" t="s">
        <v>14</v>
      </c>
      <c r="F268" s="2" t="s">
        <v>22</v>
      </c>
      <c r="G268" s="2" t="s">
        <v>16</v>
      </c>
      <c r="H268" s="11">
        <v>3.4581512605042</v>
      </c>
      <c r="I268" s="7">
        <v>0.110917647058824</v>
      </c>
      <c r="J268" s="11">
        <v>1.74924369747899</v>
      </c>
      <c r="K268" s="2" t="s">
        <v>17</v>
      </c>
      <c r="L268" s="2" t="str">
        <f>_xlfn.XLOOKUP(D268,Products!A:A,Products!B:B)</f>
        <v>Laptop</v>
      </c>
      <c r="M268" s="2" t="str">
        <f>_xlfn.XLOOKUP(D268,Products!A:A,Products!C:C)</f>
        <v>Electronics</v>
      </c>
      <c r="N268" s="2" t="str">
        <f>_xlfn.XLOOKUP(D268,Products!A:A,Products!D:D)</f>
        <v>HP</v>
      </c>
      <c r="O268" s="2">
        <f>_xlfn.XLOOKUP(D268,Products!A:A,Products!E:E)</f>
        <v>42000</v>
      </c>
      <c r="P268" s="2">
        <f>_xlfn.XLOOKUP(D268,Products!A:A,Products!F:F)</f>
        <v>55000</v>
      </c>
      <c r="Q268" s="11">
        <f t="shared" si="20"/>
        <v>190198.31932773101</v>
      </c>
      <c r="R268" s="11">
        <f t="shared" si="21"/>
        <v>21096.350054374769</v>
      </c>
      <c r="S268" s="11">
        <f t="shared" si="22"/>
        <v>169101.96927335623</v>
      </c>
      <c r="T268" s="11">
        <f t="shared" si="23"/>
        <v>145242.35294117639</v>
      </c>
      <c r="U268" s="11">
        <f t="shared" si="24"/>
        <v>23859.616332179838</v>
      </c>
    </row>
    <row r="269" spans="1:21" x14ac:dyDescent="0.3">
      <c r="A269" s="2" t="s">
        <v>321</v>
      </c>
      <c r="B269" s="6">
        <v>46118</v>
      </c>
      <c r="C269" s="2" t="s">
        <v>62</v>
      </c>
      <c r="D269" s="2" t="s">
        <v>26</v>
      </c>
      <c r="E269" s="2" t="s">
        <v>27</v>
      </c>
      <c r="F269" s="2" t="s">
        <v>15</v>
      </c>
      <c r="G269" s="2" t="s">
        <v>42</v>
      </c>
      <c r="H269" s="11">
        <v>3.4617046818727499</v>
      </c>
      <c r="I269" s="7">
        <v>0.11106554621848699</v>
      </c>
      <c r="J269" s="11">
        <v>1.7371908763505399</v>
      </c>
      <c r="K269" s="2" t="s">
        <v>17</v>
      </c>
      <c r="L269" s="2" t="str">
        <f>_xlfn.XLOOKUP(D269,Products!A:A,Products!B:B)</f>
        <v>Face Wash</v>
      </c>
      <c r="M269" s="2" t="str">
        <f>_xlfn.XLOOKUP(D269,Products!A:A,Products!C:C)</f>
        <v>Beauty</v>
      </c>
      <c r="N269" s="2" t="str">
        <f>_xlfn.XLOOKUP(D269,Products!A:A,Products!D:D)</f>
        <v>Nivea</v>
      </c>
      <c r="O269" s="2">
        <f>_xlfn.XLOOKUP(D269,Products!A:A,Products!E:E)</f>
        <v>180</v>
      </c>
      <c r="P269" s="2">
        <f>_xlfn.XLOOKUP(D269,Products!A:A,Products!F:F)</f>
        <v>350</v>
      </c>
      <c r="Q269" s="11">
        <f t="shared" si="20"/>
        <v>1211.5966386554626</v>
      </c>
      <c r="R269" s="11">
        <f t="shared" si="21"/>
        <v>134.56664246875175</v>
      </c>
      <c r="S269" s="11">
        <f t="shared" si="22"/>
        <v>1077.0299961867108</v>
      </c>
      <c r="T269" s="11">
        <f t="shared" si="23"/>
        <v>623.10684273709501</v>
      </c>
      <c r="U269" s="11">
        <f t="shared" si="24"/>
        <v>453.92315344961582</v>
      </c>
    </row>
    <row r="270" spans="1:21" x14ac:dyDescent="0.3">
      <c r="A270" s="2" t="s">
        <v>322</v>
      </c>
      <c r="B270" s="6">
        <v>46119</v>
      </c>
      <c r="C270" s="2" t="s">
        <v>64</v>
      </c>
      <c r="D270" s="2" t="s">
        <v>20</v>
      </c>
      <c r="E270" s="2" t="s">
        <v>21</v>
      </c>
      <c r="F270" s="2" t="s">
        <v>39</v>
      </c>
      <c r="G270" s="2" t="s">
        <v>23</v>
      </c>
      <c r="H270" s="11">
        <v>3.4652581032412901</v>
      </c>
      <c r="I270" s="7">
        <v>0.111213445378151</v>
      </c>
      <c r="J270" s="11">
        <v>1.7251380552220901</v>
      </c>
      <c r="K270" s="2" t="s">
        <v>17</v>
      </c>
      <c r="L270" s="2" t="str">
        <f>_xlfn.XLOOKUP(D270,Products!A:A,Products!B:B)</f>
        <v>Jeans</v>
      </c>
      <c r="M270" s="2" t="str">
        <f>_xlfn.XLOOKUP(D270,Products!A:A,Products!C:C)</f>
        <v>Clothing</v>
      </c>
      <c r="N270" s="2" t="str">
        <f>_xlfn.XLOOKUP(D270,Products!A:A,Products!D:D)</f>
        <v>Wrangler</v>
      </c>
      <c r="O270" s="2">
        <f>_xlfn.XLOOKUP(D270,Products!A:A,Products!E:E)</f>
        <v>1100</v>
      </c>
      <c r="P270" s="2">
        <f>_xlfn.XLOOKUP(D270,Products!A:A,Products!F:F)</f>
        <v>2200</v>
      </c>
      <c r="Q270" s="11">
        <f t="shared" si="20"/>
        <v>7623.5678271308379</v>
      </c>
      <c r="R270" s="11">
        <f t="shared" si="21"/>
        <v>847.84324412924479</v>
      </c>
      <c r="S270" s="11">
        <f t="shared" si="22"/>
        <v>6775.7245830015927</v>
      </c>
      <c r="T270" s="11">
        <f t="shared" si="23"/>
        <v>3811.783913565419</v>
      </c>
      <c r="U270" s="11">
        <f t="shared" si="24"/>
        <v>2963.9406694361737</v>
      </c>
    </row>
    <row r="271" spans="1:21" x14ac:dyDescent="0.3">
      <c r="A271" s="2" t="s">
        <v>323</v>
      </c>
      <c r="B271" s="6">
        <v>46119</v>
      </c>
      <c r="C271" s="2" t="s">
        <v>66</v>
      </c>
      <c r="D271" s="2" t="s">
        <v>37</v>
      </c>
      <c r="E271" s="2" t="s">
        <v>38</v>
      </c>
      <c r="F271" s="2" t="s">
        <v>15</v>
      </c>
      <c r="G271" s="2" t="s">
        <v>16</v>
      </c>
      <c r="H271" s="11">
        <v>3.4688115246098401</v>
      </c>
      <c r="I271" s="7">
        <v>0.111361344537815</v>
      </c>
      <c r="J271" s="11">
        <v>1.71308523409364</v>
      </c>
      <c r="K271" s="2" t="s">
        <v>17</v>
      </c>
      <c r="L271" s="2" t="str">
        <f>_xlfn.XLOOKUP(D271,Products!A:A,Products!B:B)</f>
        <v>Headphones</v>
      </c>
      <c r="M271" s="2" t="str">
        <f>_xlfn.XLOOKUP(D271,Products!A:A,Products!C:C)</f>
        <v>Electronics</v>
      </c>
      <c r="N271" s="2" t="str">
        <f>_xlfn.XLOOKUP(D271,Products!A:A,Products!D:D)</f>
        <v>Sony</v>
      </c>
      <c r="O271" s="2">
        <f>_xlfn.XLOOKUP(D271,Products!A:A,Products!E:E)</f>
        <v>1800</v>
      </c>
      <c r="P271" s="2">
        <f>_xlfn.XLOOKUP(D271,Products!A:A,Products!F:F)</f>
        <v>3200</v>
      </c>
      <c r="Q271" s="11">
        <f t="shared" si="20"/>
        <v>11100.196878751489</v>
      </c>
      <c r="R271" s="11">
        <f t="shared" si="21"/>
        <v>1236.1328490522233</v>
      </c>
      <c r="S271" s="11">
        <f t="shared" si="22"/>
        <v>9864.064029699266</v>
      </c>
      <c r="T271" s="11">
        <f t="shared" si="23"/>
        <v>6243.8607442977118</v>
      </c>
      <c r="U271" s="11">
        <f t="shared" si="24"/>
        <v>3620.2032854015542</v>
      </c>
    </row>
    <row r="272" spans="1:21" x14ac:dyDescent="0.3">
      <c r="A272" s="2" t="s">
        <v>324</v>
      </c>
      <c r="B272" s="6">
        <v>46120</v>
      </c>
      <c r="C272" s="2" t="s">
        <v>68</v>
      </c>
      <c r="D272" s="2" t="s">
        <v>40</v>
      </c>
      <c r="E272" s="2" t="s">
        <v>44</v>
      </c>
      <c r="F272" s="2" t="s">
        <v>22</v>
      </c>
      <c r="G272" s="2" t="s">
        <v>29</v>
      </c>
      <c r="H272" s="11">
        <v>3.4723649459783901</v>
      </c>
      <c r="I272" s="7">
        <v>0.111509243697479</v>
      </c>
      <c r="J272" s="11">
        <v>1.7010324129651899</v>
      </c>
      <c r="K272" s="2" t="s">
        <v>30</v>
      </c>
      <c r="L272" s="2" t="str">
        <f>_xlfn.XLOOKUP(D272,Products!A:A,Products!B:B)</f>
        <v>Office Chair</v>
      </c>
      <c r="M272" s="2" t="str">
        <f>_xlfn.XLOOKUP(D272,Products!A:A,Products!C:C)</f>
        <v>Furniture</v>
      </c>
      <c r="N272" s="2" t="str">
        <f>_xlfn.XLOOKUP(D272,Products!A:A,Products!D:D)</f>
        <v>Featherlite</v>
      </c>
      <c r="O272" s="2">
        <f>_xlfn.XLOOKUP(D272,Products!A:A,Products!E:E)</f>
        <v>4500</v>
      </c>
      <c r="P272" s="2">
        <f>_xlfn.XLOOKUP(D272,Products!A:A,Products!F:F)</f>
        <v>7500</v>
      </c>
      <c r="Q272" s="11">
        <f t="shared" si="20"/>
        <v>26042.737094837925</v>
      </c>
      <c r="R272" s="11">
        <f t="shared" si="21"/>
        <v>2904.0059172576584</v>
      </c>
      <c r="S272" s="11">
        <f t="shared" si="22"/>
        <v>23138.731177580266</v>
      </c>
      <c r="T272" s="11">
        <f t="shared" si="23"/>
        <v>15625.642256902755</v>
      </c>
      <c r="U272" s="11">
        <f t="shared" si="24"/>
        <v>7513.0889206775119</v>
      </c>
    </row>
    <row r="273" spans="1:21" x14ac:dyDescent="0.3">
      <c r="A273" s="2" t="s">
        <v>325</v>
      </c>
      <c r="B273" s="6">
        <v>46120</v>
      </c>
      <c r="C273" s="2" t="s">
        <v>12</v>
      </c>
      <c r="D273" s="2" t="s">
        <v>43</v>
      </c>
      <c r="E273" s="2" t="s">
        <v>14</v>
      </c>
      <c r="F273" s="2" t="s">
        <v>15</v>
      </c>
      <c r="G273" s="2" t="s">
        <v>16</v>
      </c>
      <c r="H273" s="11">
        <v>3.47591836734694</v>
      </c>
      <c r="I273" s="7">
        <v>0.111657142857143</v>
      </c>
      <c r="J273" s="11">
        <v>1.6889795918367301</v>
      </c>
      <c r="K273" s="2" t="s">
        <v>17</v>
      </c>
      <c r="L273" s="2" t="str">
        <f>_xlfn.XLOOKUP(D273,Products!A:A,Products!B:B)</f>
        <v>Smartphone</v>
      </c>
      <c r="M273" s="2" t="str">
        <f>_xlfn.XLOOKUP(D273,Products!A:A,Products!C:C)</f>
        <v>Electronics</v>
      </c>
      <c r="N273" s="2" t="str">
        <f>_xlfn.XLOOKUP(D273,Products!A:A,Products!D:D)</f>
        <v>Samsung</v>
      </c>
      <c r="O273" s="2">
        <f>_xlfn.XLOOKUP(D273,Products!A:A,Products!E:E)</f>
        <v>14000</v>
      </c>
      <c r="P273" s="2">
        <f>_xlfn.XLOOKUP(D273,Products!A:A,Products!F:F)</f>
        <v>22000</v>
      </c>
      <c r="Q273" s="11">
        <f t="shared" si="20"/>
        <v>76470.204081632677</v>
      </c>
      <c r="R273" s="11">
        <f t="shared" si="21"/>
        <v>8538.4445014577395</v>
      </c>
      <c r="S273" s="11">
        <f t="shared" si="22"/>
        <v>67931.759580174941</v>
      </c>
      <c r="T273" s="11">
        <f t="shared" si="23"/>
        <v>48662.857142857159</v>
      </c>
      <c r="U273" s="11">
        <f t="shared" si="24"/>
        <v>19268.902437317782</v>
      </c>
    </row>
    <row r="274" spans="1:21" x14ac:dyDescent="0.3">
      <c r="A274" s="2" t="s">
        <v>326</v>
      </c>
      <c r="B274" s="6">
        <v>46121</v>
      </c>
      <c r="C274" s="2" t="s">
        <v>19</v>
      </c>
      <c r="D274" s="2" t="s">
        <v>47</v>
      </c>
      <c r="E274" s="2" t="s">
        <v>27</v>
      </c>
      <c r="F274" s="2" t="s">
        <v>41</v>
      </c>
      <c r="G274" s="2" t="s">
        <v>23</v>
      </c>
      <c r="H274" s="11">
        <v>3.4794717887154798</v>
      </c>
      <c r="I274" s="7">
        <v>0.11180504201680699</v>
      </c>
      <c r="J274" s="11">
        <v>1.67692677070828</v>
      </c>
      <c r="K274" s="2" t="s">
        <v>17</v>
      </c>
      <c r="L274" s="2" t="str">
        <f>_xlfn.XLOOKUP(D274,Products!A:A,Products!B:B)</f>
        <v>Mixer Grinder</v>
      </c>
      <c r="M274" s="2" t="str">
        <f>_xlfn.XLOOKUP(D274,Products!A:A,Products!C:C)</f>
        <v>Home Appliances</v>
      </c>
      <c r="N274" s="2" t="str">
        <f>_xlfn.XLOOKUP(D274,Products!A:A,Products!D:D)</f>
        <v>Philips</v>
      </c>
      <c r="O274" s="2">
        <f>_xlfn.XLOOKUP(D274,Products!A:A,Products!E:E)</f>
        <v>2800</v>
      </c>
      <c r="P274" s="2">
        <f>_xlfn.XLOOKUP(D274,Products!A:A,Products!F:F)</f>
        <v>4800</v>
      </c>
      <c r="Q274" s="11">
        <f t="shared" si="20"/>
        <v>16701.464585834303</v>
      </c>
      <c r="R274" s="11">
        <f t="shared" si="21"/>
        <v>1867.3079497614183</v>
      </c>
      <c r="S274" s="11">
        <f t="shared" si="22"/>
        <v>14834.156636072885</v>
      </c>
      <c r="T274" s="11">
        <f t="shared" si="23"/>
        <v>9742.5210084033442</v>
      </c>
      <c r="U274" s="11">
        <f t="shared" si="24"/>
        <v>5091.6356276695406</v>
      </c>
    </row>
    <row r="275" spans="1:21" x14ac:dyDescent="0.3">
      <c r="A275" s="2" t="s">
        <v>327</v>
      </c>
      <c r="B275" s="6">
        <v>46121</v>
      </c>
      <c r="C275" s="2" t="s">
        <v>25</v>
      </c>
      <c r="D275" s="2" t="s">
        <v>51</v>
      </c>
      <c r="E275" s="2" t="s">
        <v>21</v>
      </c>
      <c r="F275" s="2" t="s">
        <v>52</v>
      </c>
      <c r="G275" s="2" t="s">
        <v>29</v>
      </c>
      <c r="H275" s="11">
        <v>3.4830252100840302</v>
      </c>
      <c r="I275" s="7">
        <v>0.111952941176471</v>
      </c>
      <c r="J275" s="11">
        <v>1.6648739495798299</v>
      </c>
      <c r="K275" s="2" t="s">
        <v>30</v>
      </c>
      <c r="L275" s="2" t="str">
        <f>_xlfn.XLOOKUP(D275,Products!A:A,Products!B:B)</f>
        <v>Shirt</v>
      </c>
      <c r="M275" s="2" t="str">
        <f>_xlfn.XLOOKUP(D275,Products!A:A,Products!C:C)</f>
        <v>Clothing</v>
      </c>
      <c r="N275" s="2" t="str">
        <f>_xlfn.XLOOKUP(D275,Products!A:A,Products!D:D)</f>
        <v>Levis</v>
      </c>
      <c r="O275" s="2">
        <f>_xlfn.XLOOKUP(D275,Products!A:A,Products!E:E)</f>
        <v>700</v>
      </c>
      <c r="P275" s="2">
        <f>_xlfn.XLOOKUP(D275,Products!A:A,Products!F:F)</f>
        <v>1500</v>
      </c>
      <c r="Q275" s="11">
        <f t="shared" si="20"/>
        <v>5224.5378151260456</v>
      </c>
      <c r="R275" s="11">
        <f t="shared" si="21"/>
        <v>584.90237469105455</v>
      </c>
      <c r="S275" s="11">
        <f t="shared" si="22"/>
        <v>4639.6354404349913</v>
      </c>
      <c r="T275" s="11">
        <f t="shared" si="23"/>
        <v>2438.1176470588211</v>
      </c>
      <c r="U275" s="11">
        <f t="shared" si="24"/>
        <v>2201.5177933761702</v>
      </c>
    </row>
    <row r="276" spans="1:21" x14ac:dyDescent="0.3">
      <c r="A276" s="2" t="s">
        <v>328</v>
      </c>
      <c r="B276" s="6">
        <v>46122</v>
      </c>
      <c r="C276" s="2" t="s">
        <v>32</v>
      </c>
      <c r="D276" s="2" t="s">
        <v>55</v>
      </c>
      <c r="E276" s="2" t="s">
        <v>38</v>
      </c>
      <c r="F276" s="2" t="s">
        <v>22</v>
      </c>
      <c r="G276" s="2" t="s">
        <v>16</v>
      </c>
      <c r="H276" s="11">
        <v>3.4865786314525802</v>
      </c>
      <c r="I276" s="7">
        <v>0.112100840336134</v>
      </c>
      <c r="J276" s="11">
        <v>1.6528211284513801</v>
      </c>
      <c r="K276" s="2" t="s">
        <v>17</v>
      </c>
      <c r="L276" s="2" t="str">
        <f>_xlfn.XLOOKUP(D276,Products!A:A,Products!B:B)</f>
        <v>Sports Shoes</v>
      </c>
      <c r="M276" s="2" t="str">
        <f>_xlfn.XLOOKUP(D276,Products!A:A,Products!C:C)</f>
        <v>Sports</v>
      </c>
      <c r="N276" s="2" t="str">
        <f>_xlfn.XLOOKUP(D276,Products!A:A,Products!D:D)</f>
        <v>Nike</v>
      </c>
      <c r="O276" s="2">
        <f>_xlfn.XLOOKUP(D276,Products!A:A,Products!E:E)</f>
        <v>2200</v>
      </c>
      <c r="P276" s="2">
        <f>_xlfn.XLOOKUP(D276,Products!A:A,Products!F:F)</f>
        <v>4500</v>
      </c>
      <c r="Q276" s="11">
        <f t="shared" si="20"/>
        <v>15689.603841536611</v>
      </c>
      <c r="R276" s="11">
        <f t="shared" si="21"/>
        <v>1758.8177751772903</v>
      </c>
      <c r="S276" s="11">
        <f t="shared" si="22"/>
        <v>13930.78606635932</v>
      </c>
      <c r="T276" s="11">
        <f t="shared" si="23"/>
        <v>7670.4729891956767</v>
      </c>
      <c r="U276" s="11">
        <f t="shared" si="24"/>
        <v>6260.3130771636434</v>
      </c>
    </row>
    <row r="277" spans="1:21" x14ac:dyDescent="0.3">
      <c r="A277" s="2" t="s">
        <v>329</v>
      </c>
      <c r="B277" s="6">
        <v>46122</v>
      </c>
      <c r="C277" s="2" t="s">
        <v>34</v>
      </c>
      <c r="D277" s="2" t="s">
        <v>58</v>
      </c>
      <c r="E277" s="2" t="s">
        <v>44</v>
      </c>
      <c r="F277" s="2" t="s">
        <v>15</v>
      </c>
      <c r="G277" s="2" t="s">
        <v>23</v>
      </c>
      <c r="H277" s="11">
        <v>3.4901320528211199</v>
      </c>
      <c r="I277" s="7">
        <v>0.112248739495798</v>
      </c>
      <c r="J277" s="11">
        <v>1.64076830732293</v>
      </c>
      <c r="K277" s="2" t="s">
        <v>17</v>
      </c>
      <c r="L277" s="2" t="str">
        <f>_xlfn.XLOOKUP(D277,Products!A:A,Products!B:B)</f>
        <v>Study Table</v>
      </c>
      <c r="M277" s="2" t="str">
        <f>_xlfn.XLOOKUP(D277,Products!A:A,Products!C:C)</f>
        <v>Furniture</v>
      </c>
      <c r="N277" s="2" t="str">
        <f>_xlfn.XLOOKUP(D277,Products!A:A,Products!D:D)</f>
        <v>Ikea</v>
      </c>
      <c r="O277" s="2">
        <f>_xlfn.XLOOKUP(D277,Products!A:A,Products!E:E)</f>
        <v>5000</v>
      </c>
      <c r="P277" s="2">
        <f>_xlfn.XLOOKUP(D277,Products!A:A,Products!F:F)</f>
        <v>8500</v>
      </c>
      <c r="Q277" s="11">
        <f t="shared" si="20"/>
        <v>29666.12244897952</v>
      </c>
      <c r="R277" s="11">
        <f t="shared" si="21"/>
        <v>3329.9848506259473</v>
      </c>
      <c r="S277" s="11">
        <f t="shared" si="22"/>
        <v>26336.137598353573</v>
      </c>
      <c r="T277" s="11">
        <f t="shared" si="23"/>
        <v>17450.660264105598</v>
      </c>
      <c r="U277" s="11">
        <f t="shared" si="24"/>
        <v>8885.4773342479748</v>
      </c>
    </row>
    <row r="278" spans="1:21" x14ac:dyDescent="0.3">
      <c r="A278" s="2" t="s">
        <v>330</v>
      </c>
      <c r="B278" s="6">
        <v>46123</v>
      </c>
      <c r="C278" s="2" t="s">
        <v>36</v>
      </c>
      <c r="D278" s="2" t="s">
        <v>13</v>
      </c>
      <c r="E278" s="2" t="s">
        <v>14</v>
      </c>
      <c r="F278" s="2" t="s">
        <v>39</v>
      </c>
      <c r="G278" s="2" t="s">
        <v>16</v>
      </c>
      <c r="H278" s="11">
        <v>3.4936854741896699</v>
      </c>
      <c r="I278" s="7">
        <v>0.112396638655462</v>
      </c>
      <c r="J278" s="11">
        <v>1.6287154861944799</v>
      </c>
      <c r="K278" s="2" t="s">
        <v>17</v>
      </c>
      <c r="L278" s="2" t="str">
        <f>_xlfn.XLOOKUP(D278,Products!A:A,Products!B:B)</f>
        <v>Laptop</v>
      </c>
      <c r="M278" s="2" t="str">
        <f>_xlfn.XLOOKUP(D278,Products!A:A,Products!C:C)</f>
        <v>Electronics</v>
      </c>
      <c r="N278" s="2" t="str">
        <f>_xlfn.XLOOKUP(D278,Products!A:A,Products!D:D)</f>
        <v>HP</v>
      </c>
      <c r="O278" s="2">
        <f>_xlfn.XLOOKUP(D278,Products!A:A,Products!E:E)</f>
        <v>42000</v>
      </c>
      <c r="P278" s="2">
        <f>_xlfn.XLOOKUP(D278,Products!A:A,Products!F:F)</f>
        <v>55000</v>
      </c>
      <c r="Q278" s="11">
        <f t="shared" si="20"/>
        <v>192152.70108043184</v>
      </c>
      <c r="R278" s="11">
        <f t="shared" si="21"/>
        <v>21597.317710008301</v>
      </c>
      <c r="S278" s="11">
        <f t="shared" si="22"/>
        <v>170555.38337042354</v>
      </c>
      <c r="T278" s="11">
        <f t="shared" si="23"/>
        <v>146734.78991596613</v>
      </c>
      <c r="U278" s="11">
        <f t="shared" si="24"/>
        <v>23820.593454457412</v>
      </c>
    </row>
    <row r="279" spans="1:21" x14ac:dyDescent="0.3">
      <c r="A279" s="2" t="s">
        <v>331</v>
      </c>
      <c r="B279" s="6">
        <v>46123</v>
      </c>
      <c r="C279" s="2" t="s">
        <v>46</v>
      </c>
      <c r="D279" s="2" t="s">
        <v>20</v>
      </c>
      <c r="E279" s="2" t="s">
        <v>27</v>
      </c>
      <c r="F279" s="2" t="s">
        <v>15</v>
      </c>
      <c r="G279" s="2" t="s">
        <v>29</v>
      </c>
      <c r="H279" s="11">
        <v>3.4972388955582199</v>
      </c>
      <c r="I279" s="7">
        <v>0.11254453781512599</v>
      </c>
      <c r="J279" s="11">
        <v>1.6166626650660301</v>
      </c>
      <c r="K279" s="2" t="s">
        <v>17</v>
      </c>
      <c r="L279" s="2" t="str">
        <f>_xlfn.XLOOKUP(D279,Products!A:A,Products!B:B)</f>
        <v>Jeans</v>
      </c>
      <c r="M279" s="2" t="str">
        <f>_xlfn.XLOOKUP(D279,Products!A:A,Products!C:C)</f>
        <v>Clothing</v>
      </c>
      <c r="N279" s="2" t="str">
        <f>_xlfn.XLOOKUP(D279,Products!A:A,Products!D:D)</f>
        <v>Wrangler</v>
      </c>
      <c r="O279" s="2">
        <f>_xlfn.XLOOKUP(D279,Products!A:A,Products!E:E)</f>
        <v>1100</v>
      </c>
      <c r="P279" s="2">
        <f>_xlfn.XLOOKUP(D279,Products!A:A,Products!F:F)</f>
        <v>2200</v>
      </c>
      <c r="Q279" s="11">
        <f t="shared" si="20"/>
        <v>7693.9255702280834</v>
      </c>
      <c r="R279" s="11">
        <f t="shared" si="21"/>
        <v>865.90929728529932</v>
      </c>
      <c r="S279" s="11">
        <f t="shared" si="22"/>
        <v>6828.0162729427839</v>
      </c>
      <c r="T279" s="11">
        <f t="shared" si="23"/>
        <v>3846.9627851140417</v>
      </c>
      <c r="U279" s="11">
        <f t="shared" si="24"/>
        <v>2981.0534878287422</v>
      </c>
    </row>
    <row r="280" spans="1:21" x14ac:dyDescent="0.3">
      <c r="A280" s="2" t="s">
        <v>332</v>
      </c>
      <c r="B280" s="6">
        <v>46124</v>
      </c>
      <c r="C280" s="2" t="s">
        <v>50</v>
      </c>
      <c r="D280" s="2" t="s">
        <v>26</v>
      </c>
      <c r="E280" s="2" t="s">
        <v>21</v>
      </c>
      <c r="F280" s="2" t="s">
        <v>41</v>
      </c>
      <c r="G280" s="2" t="s">
        <v>23</v>
      </c>
      <c r="H280" s="11">
        <v>3.5007923169267698</v>
      </c>
      <c r="I280" s="7">
        <v>0.11269243697479001</v>
      </c>
      <c r="J280" s="11">
        <v>1.60460984393757</v>
      </c>
      <c r="K280" s="2" t="s">
        <v>17</v>
      </c>
      <c r="L280" s="2" t="str">
        <f>_xlfn.XLOOKUP(D280,Products!A:A,Products!B:B)</f>
        <v>Face Wash</v>
      </c>
      <c r="M280" s="2" t="str">
        <f>_xlfn.XLOOKUP(D280,Products!A:A,Products!C:C)</f>
        <v>Beauty</v>
      </c>
      <c r="N280" s="2" t="str">
        <f>_xlfn.XLOOKUP(D280,Products!A:A,Products!D:D)</f>
        <v>Nivea</v>
      </c>
      <c r="O280" s="2">
        <f>_xlfn.XLOOKUP(D280,Products!A:A,Products!E:E)</f>
        <v>180</v>
      </c>
      <c r="P280" s="2">
        <f>_xlfn.XLOOKUP(D280,Products!A:A,Products!F:F)</f>
        <v>350</v>
      </c>
      <c r="Q280" s="11">
        <f t="shared" si="20"/>
        <v>1225.2773109243694</v>
      </c>
      <c r="R280" s="11">
        <f t="shared" si="21"/>
        <v>138.07948613798467</v>
      </c>
      <c r="S280" s="11">
        <f t="shared" si="22"/>
        <v>1087.1978247863847</v>
      </c>
      <c r="T280" s="11">
        <f t="shared" si="23"/>
        <v>630.1426170468186</v>
      </c>
      <c r="U280" s="11">
        <f t="shared" si="24"/>
        <v>457.05520773956607</v>
      </c>
    </row>
    <row r="281" spans="1:21" x14ac:dyDescent="0.3">
      <c r="A281" s="2" t="s">
        <v>333</v>
      </c>
      <c r="B281" s="6">
        <v>46124</v>
      </c>
      <c r="C281" s="2" t="s">
        <v>54</v>
      </c>
      <c r="D281" s="2" t="s">
        <v>37</v>
      </c>
      <c r="E281" s="2" t="s">
        <v>38</v>
      </c>
      <c r="F281" s="2" t="s">
        <v>22</v>
      </c>
      <c r="G281" s="2" t="s">
        <v>16</v>
      </c>
      <c r="H281" s="11">
        <v>3.50434573829531</v>
      </c>
      <c r="I281" s="7">
        <v>0.112840336134454</v>
      </c>
      <c r="J281" s="11">
        <v>1.5925570228091199</v>
      </c>
      <c r="K281" s="2" t="s">
        <v>30</v>
      </c>
      <c r="L281" s="2" t="str">
        <f>_xlfn.XLOOKUP(D281,Products!A:A,Products!B:B)</f>
        <v>Headphones</v>
      </c>
      <c r="M281" s="2" t="str">
        <f>_xlfn.XLOOKUP(D281,Products!A:A,Products!C:C)</f>
        <v>Electronics</v>
      </c>
      <c r="N281" s="2" t="str">
        <f>_xlfn.XLOOKUP(D281,Products!A:A,Products!D:D)</f>
        <v>Sony</v>
      </c>
      <c r="O281" s="2">
        <f>_xlfn.XLOOKUP(D281,Products!A:A,Products!E:E)</f>
        <v>1800</v>
      </c>
      <c r="P281" s="2">
        <f>_xlfn.XLOOKUP(D281,Products!A:A,Products!F:F)</f>
        <v>3200</v>
      </c>
      <c r="Q281" s="11">
        <f t="shared" si="20"/>
        <v>11213.906362544993</v>
      </c>
      <c r="R281" s="11">
        <f t="shared" si="21"/>
        <v>1265.3809633298695</v>
      </c>
      <c r="S281" s="11">
        <f t="shared" si="22"/>
        <v>9948.5253992151229</v>
      </c>
      <c r="T281" s="11">
        <f t="shared" si="23"/>
        <v>6307.8223289315583</v>
      </c>
      <c r="U281" s="11">
        <f t="shared" si="24"/>
        <v>3640.7030702835646</v>
      </c>
    </row>
    <row r="282" spans="1:21" x14ac:dyDescent="0.3">
      <c r="A282" s="2" t="s">
        <v>334</v>
      </c>
      <c r="B282" s="6">
        <v>46125</v>
      </c>
      <c r="C282" s="2" t="s">
        <v>57</v>
      </c>
      <c r="D282" s="2" t="s">
        <v>40</v>
      </c>
      <c r="E282" s="2" t="s">
        <v>44</v>
      </c>
      <c r="F282" s="2" t="s">
        <v>15</v>
      </c>
      <c r="G282" s="2" t="s">
        <v>42</v>
      </c>
      <c r="H282" s="11">
        <v>3.50789915966386</v>
      </c>
      <c r="I282" s="7">
        <v>0.112988235294118</v>
      </c>
      <c r="J282" s="11">
        <v>1.5805042016806701</v>
      </c>
      <c r="K282" s="2" t="s">
        <v>17</v>
      </c>
      <c r="L282" s="2" t="str">
        <f>_xlfn.XLOOKUP(D282,Products!A:A,Products!B:B)</f>
        <v>Office Chair</v>
      </c>
      <c r="M282" s="2" t="str">
        <f>_xlfn.XLOOKUP(D282,Products!A:A,Products!C:C)</f>
        <v>Furniture</v>
      </c>
      <c r="N282" s="2" t="str">
        <f>_xlfn.XLOOKUP(D282,Products!A:A,Products!D:D)</f>
        <v>Featherlite</v>
      </c>
      <c r="O282" s="2">
        <f>_xlfn.XLOOKUP(D282,Products!A:A,Products!E:E)</f>
        <v>4500</v>
      </c>
      <c r="P282" s="2">
        <f>_xlfn.XLOOKUP(D282,Products!A:A,Products!F:F)</f>
        <v>7500</v>
      </c>
      <c r="Q282" s="11">
        <f t="shared" si="20"/>
        <v>26309.243697478949</v>
      </c>
      <c r="R282" s="11">
        <f t="shared" si="21"/>
        <v>2972.6350173010424</v>
      </c>
      <c r="S282" s="11">
        <f t="shared" si="22"/>
        <v>23336.608680177906</v>
      </c>
      <c r="T282" s="11">
        <f t="shared" si="23"/>
        <v>15785.54621848737</v>
      </c>
      <c r="U282" s="11">
        <f t="shared" si="24"/>
        <v>7551.0624616905352</v>
      </c>
    </row>
    <row r="283" spans="1:21" x14ac:dyDescent="0.3">
      <c r="A283" s="2" t="s">
        <v>335</v>
      </c>
      <c r="B283" s="6">
        <v>46125</v>
      </c>
      <c r="C283" s="2" t="s">
        <v>60</v>
      </c>
      <c r="D283" s="2" t="s">
        <v>47</v>
      </c>
      <c r="E283" s="2" t="s">
        <v>14</v>
      </c>
      <c r="F283" s="2" t="s">
        <v>52</v>
      </c>
      <c r="G283" s="2" t="s">
        <v>16</v>
      </c>
      <c r="H283" s="11">
        <v>3.51145258103241</v>
      </c>
      <c r="I283" s="7">
        <v>0.113136134453782</v>
      </c>
      <c r="J283" s="11">
        <v>1.56845138055222</v>
      </c>
      <c r="K283" s="2" t="s">
        <v>17</v>
      </c>
      <c r="L283" s="2" t="str">
        <f>_xlfn.XLOOKUP(D283,Products!A:A,Products!B:B)</f>
        <v>Mixer Grinder</v>
      </c>
      <c r="M283" s="2" t="str">
        <f>_xlfn.XLOOKUP(D283,Products!A:A,Products!C:C)</f>
        <v>Home Appliances</v>
      </c>
      <c r="N283" s="2" t="str">
        <f>_xlfn.XLOOKUP(D283,Products!A:A,Products!D:D)</f>
        <v>Philips</v>
      </c>
      <c r="O283" s="2">
        <f>_xlfn.XLOOKUP(D283,Products!A:A,Products!E:E)</f>
        <v>2800</v>
      </c>
      <c r="P283" s="2">
        <f>_xlfn.XLOOKUP(D283,Products!A:A,Products!F:F)</f>
        <v>4800</v>
      </c>
      <c r="Q283" s="11">
        <f t="shared" si="20"/>
        <v>16854.972388955568</v>
      </c>
      <c r="R283" s="11">
        <f t="shared" si="21"/>
        <v>1906.9064224116603</v>
      </c>
      <c r="S283" s="11">
        <f t="shared" si="22"/>
        <v>14948.065966543907</v>
      </c>
      <c r="T283" s="11">
        <f t="shared" si="23"/>
        <v>9832.0672268907474</v>
      </c>
      <c r="U283" s="11">
        <f t="shared" si="24"/>
        <v>5115.9987396531596</v>
      </c>
    </row>
    <row r="284" spans="1:21" x14ac:dyDescent="0.3">
      <c r="A284" s="2" t="s">
        <v>336</v>
      </c>
      <c r="B284" s="6">
        <v>46126</v>
      </c>
      <c r="C284" s="2" t="s">
        <v>62</v>
      </c>
      <c r="D284" s="2" t="s">
        <v>43</v>
      </c>
      <c r="E284" s="2" t="s">
        <v>27</v>
      </c>
      <c r="F284" s="2" t="s">
        <v>22</v>
      </c>
      <c r="G284" s="2" t="s">
        <v>23</v>
      </c>
      <c r="H284" s="11">
        <v>3.51500600240096</v>
      </c>
      <c r="I284" s="7">
        <v>0.113284033613445</v>
      </c>
      <c r="J284" s="11">
        <v>1.5563985594237699</v>
      </c>
      <c r="K284" s="2" t="s">
        <v>17</v>
      </c>
      <c r="L284" s="2" t="str">
        <f>_xlfn.XLOOKUP(D284,Products!A:A,Products!B:B)</f>
        <v>Smartphone</v>
      </c>
      <c r="M284" s="2" t="str">
        <f>_xlfn.XLOOKUP(D284,Products!A:A,Products!C:C)</f>
        <v>Electronics</v>
      </c>
      <c r="N284" s="2" t="str">
        <f>_xlfn.XLOOKUP(D284,Products!A:A,Products!D:D)</f>
        <v>Samsung</v>
      </c>
      <c r="O284" s="2">
        <f>_xlfn.XLOOKUP(D284,Products!A:A,Products!E:E)</f>
        <v>14000</v>
      </c>
      <c r="P284" s="2">
        <f>_xlfn.XLOOKUP(D284,Products!A:A,Products!F:F)</f>
        <v>22000</v>
      </c>
      <c r="Q284" s="11">
        <f t="shared" si="20"/>
        <v>77330.132052821122</v>
      </c>
      <c r="R284" s="11">
        <f t="shared" si="21"/>
        <v>8760.2692788039276</v>
      </c>
      <c r="S284" s="11">
        <f t="shared" si="22"/>
        <v>68569.862774017194</v>
      </c>
      <c r="T284" s="11">
        <f t="shared" si="23"/>
        <v>49210.084033613442</v>
      </c>
      <c r="U284" s="11">
        <f t="shared" si="24"/>
        <v>19359.778740403752</v>
      </c>
    </row>
    <row r="285" spans="1:21" x14ac:dyDescent="0.3">
      <c r="A285" s="2" t="s">
        <v>337</v>
      </c>
      <c r="B285" s="6">
        <v>46126</v>
      </c>
      <c r="C285" s="2" t="s">
        <v>64</v>
      </c>
      <c r="D285" s="2" t="s">
        <v>51</v>
      </c>
      <c r="E285" s="2" t="s">
        <v>21</v>
      </c>
      <c r="F285" s="2" t="s">
        <v>15</v>
      </c>
      <c r="G285" s="2" t="s">
        <v>29</v>
      </c>
      <c r="H285" s="11">
        <v>3.5185594237695099</v>
      </c>
      <c r="I285" s="7">
        <v>0.11343193277310901</v>
      </c>
      <c r="J285" s="11">
        <v>1.5443457382953201</v>
      </c>
      <c r="K285" s="2" t="s">
        <v>48</v>
      </c>
      <c r="L285" s="2" t="str">
        <f>_xlfn.XLOOKUP(D285,Products!A:A,Products!B:B)</f>
        <v>Shirt</v>
      </c>
      <c r="M285" s="2" t="str">
        <f>_xlfn.XLOOKUP(D285,Products!A:A,Products!C:C)</f>
        <v>Clothing</v>
      </c>
      <c r="N285" s="2" t="str">
        <f>_xlfn.XLOOKUP(D285,Products!A:A,Products!D:D)</f>
        <v>Levis</v>
      </c>
      <c r="O285" s="2">
        <f>_xlfn.XLOOKUP(D285,Products!A:A,Products!E:E)</f>
        <v>700</v>
      </c>
      <c r="P285" s="2">
        <f>_xlfn.XLOOKUP(D285,Products!A:A,Products!F:F)</f>
        <v>1500</v>
      </c>
      <c r="Q285" s="11">
        <f t="shared" si="20"/>
        <v>5277.8391356542652</v>
      </c>
      <c r="R285" s="11">
        <f t="shared" si="21"/>
        <v>598.67549402281838</v>
      </c>
      <c r="S285" s="11">
        <f t="shared" si="22"/>
        <v>4679.1636416314468</v>
      </c>
      <c r="T285" s="11">
        <f t="shared" si="23"/>
        <v>2462.991596638657</v>
      </c>
      <c r="U285" s="11">
        <f t="shared" si="24"/>
        <v>2216.1720449927898</v>
      </c>
    </row>
    <row r="286" spans="1:21" x14ac:dyDescent="0.3">
      <c r="A286" s="2" t="s">
        <v>338</v>
      </c>
      <c r="B286" s="6">
        <v>46127</v>
      </c>
      <c r="C286" s="2" t="s">
        <v>66</v>
      </c>
      <c r="D286" s="2" t="s">
        <v>55</v>
      </c>
      <c r="E286" s="2" t="s">
        <v>38</v>
      </c>
      <c r="F286" s="2" t="s">
        <v>39</v>
      </c>
      <c r="G286" s="2" t="s">
        <v>16</v>
      </c>
      <c r="H286" s="11">
        <v>3.5221128451380501</v>
      </c>
      <c r="I286" s="7">
        <v>0.113579831932773</v>
      </c>
      <c r="J286" s="11">
        <v>1.53229291716687</v>
      </c>
      <c r="K286" s="2" t="s">
        <v>17</v>
      </c>
      <c r="L286" s="2" t="str">
        <f>_xlfn.XLOOKUP(D286,Products!A:A,Products!B:B)</f>
        <v>Sports Shoes</v>
      </c>
      <c r="M286" s="2" t="str">
        <f>_xlfn.XLOOKUP(D286,Products!A:A,Products!C:C)</f>
        <v>Sports</v>
      </c>
      <c r="N286" s="2" t="str">
        <f>_xlfn.XLOOKUP(D286,Products!A:A,Products!D:D)</f>
        <v>Nike</v>
      </c>
      <c r="O286" s="2">
        <f>_xlfn.XLOOKUP(D286,Products!A:A,Products!E:E)</f>
        <v>2200</v>
      </c>
      <c r="P286" s="2">
        <f>_xlfn.XLOOKUP(D286,Products!A:A,Products!F:F)</f>
        <v>4500</v>
      </c>
      <c r="Q286" s="11">
        <f t="shared" si="20"/>
        <v>15849.507803121225</v>
      </c>
      <c r="R286" s="11">
        <f t="shared" si="21"/>
        <v>1800.184432495683</v>
      </c>
      <c r="S286" s="11">
        <f t="shared" si="22"/>
        <v>14049.323370625541</v>
      </c>
      <c r="T286" s="11">
        <f t="shared" si="23"/>
        <v>7748.6482593037099</v>
      </c>
      <c r="U286" s="11">
        <f t="shared" si="24"/>
        <v>6300.6751113218315</v>
      </c>
    </row>
    <row r="287" spans="1:21" x14ac:dyDescent="0.3">
      <c r="A287" s="2" t="s">
        <v>339</v>
      </c>
      <c r="B287" s="6">
        <v>46127</v>
      </c>
      <c r="C287" s="2" t="s">
        <v>68</v>
      </c>
      <c r="D287" s="2" t="s">
        <v>58</v>
      </c>
      <c r="E287" s="2" t="s">
        <v>44</v>
      </c>
      <c r="F287" s="2" t="s">
        <v>41</v>
      </c>
      <c r="G287" s="2" t="s">
        <v>23</v>
      </c>
      <c r="H287" s="11">
        <v>3.5256662665066001</v>
      </c>
      <c r="I287" s="7">
        <v>0.113727731092437</v>
      </c>
      <c r="J287" s="11">
        <v>1.5202400960384099</v>
      </c>
      <c r="K287" s="2" t="s">
        <v>17</v>
      </c>
      <c r="L287" s="2" t="str">
        <f>_xlfn.XLOOKUP(D287,Products!A:A,Products!B:B)</f>
        <v>Study Table</v>
      </c>
      <c r="M287" s="2" t="str">
        <f>_xlfn.XLOOKUP(D287,Products!A:A,Products!C:C)</f>
        <v>Furniture</v>
      </c>
      <c r="N287" s="2" t="str">
        <f>_xlfn.XLOOKUP(D287,Products!A:A,Products!D:D)</f>
        <v>Ikea</v>
      </c>
      <c r="O287" s="2">
        <f>_xlfn.XLOOKUP(D287,Products!A:A,Products!E:E)</f>
        <v>5000</v>
      </c>
      <c r="P287" s="2">
        <f>_xlfn.XLOOKUP(D287,Products!A:A,Products!F:F)</f>
        <v>8500</v>
      </c>
      <c r="Q287" s="11">
        <f t="shared" si="20"/>
        <v>29968.163265306102</v>
      </c>
      <c r="R287" s="11">
        <f t="shared" si="21"/>
        <v>3408.2112131709814</v>
      </c>
      <c r="S287" s="11">
        <f t="shared" si="22"/>
        <v>26559.952052135122</v>
      </c>
      <c r="T287" s="11">
        <f t="shared" si="23"/>
        <v>17628.331332533002</v>
      </c>
      <c r="U287" s="11">
        <f t="shared" si="24"/>
        <v>8931.6207196021205</v>
      </c>
    </row>
    <row r="288" spans="1:21" x14ac:dyDescent="0.3">
      <c r="A288" s="2" t="s">
        <v>340</v>
      </c>
      <c r="B288" s="6">
        <v>46128</v>
      </c>
      <c r="C288" s="2" t="s">
        <v>12</v>
      </c>
      <c r="D288" s="2" t="s">
        <v>13</v>
      </c>
      <c r="E288" s="2" t="s">
        <v>14</v>
      </c>
      <c r="F288" s="2" t="s">
        <v>15</v>
      </c>
      <c r="G288" s="2" t="s">
        <v>16</v>
      </c>
      <c r="H288" s="11">
        <v>3.5292196878751501</v>
      </c>
      <c r="I288" s="7">
        <v>0.113875630252101</v>
      </c>
      <c r="J288" s="11">
        <v>1.5081872749099601</v>
      </c>
      <c r="K288" s="2" t="s">
        <v>17</v>
      </c>
      <c r="L288" s="2" t="str">
        <f>_xlfn.XLOOKUP(D288,Products!A:A,Products!B:B)</f>
        <v>Laptop</v>
      </c>
      <c r="M288" s="2" t="str">
        <f>_xlfn.XLOOKUP(D288,Products!A:A,Products!C:C)</f>
        <v>Electronics</v>
      </c>
      <c r="N288" s="2" t="str">
        <f>_xlfn.XLOOKUP(D288,Products!A:A,Products!D:D)</f>
        <v>HP</v>
      </c>
      <c r="O288" s="2">
        <f>_xlfn.XLOOKUP(D288,Products!A:A,Products!E:E)</f>
        <v>42000</v>
      </c>
      <c r="P288" s="2">
        <f>_xlfn.XLOOKUP(D288,Products!A:A,Products!F:F)</f>
        <v>55000</v>
      </c>
      <c r="Q288" s="11">
        <f t="shared" si="20"/>
        <v>194107.08283313326</v>
      </c>
      <c r="R288" s="11">
        <f t="shared" si="21"/>
        <v>22104.066394019825</v>
      </c>
      <c r="S288" s="11">
        <f t="shared" si="22"/>
        <v>172003.01643911345</v>
      </c>
      <c r="T288" s="11">
        <f t="shared" si="23"/>
        <v>148227.22689075631</v>
      </c>
      <c r="U288" s="11">
        <f t="shared" si="24"/>
        <v>23775.789548357134</v>
      </c>
    </row>
    <row r="289" spans="1:21" x14ac:dyDescent="0.3">
      <c r="A289" s="2" t="s">
        <v>341</v>
      </c>
      <c r="B289" s="6">
        <v>46128</v>
      </c>
      <c r="C289" s="2" t="s">
        <v>19</v>
      </c>
      <c r="D289" s="2" t="s">
        <v>37</v>
      </c>
      <c r="E289" s="2" t="s">
        <v>27</v>
      </c>
      <c r="F289" s="2" t="s">
        <v>22</v>
      </c>
      <c r="G289" s="2" t="s">
        <v>29</v>
      </c>
      <c r="H289" s="11">
        <v>3.5327731092437</v>
      </c>
      <c r="I289" s="7">
        <v>0.114023529411765</v>
      </c>
      <c r="J289" s="11">
        <v>1.49613445378151</v>
      </c>
      <c r="K289" s="2" t="s">
        <v>30</v>
      </c>
      <c r="L289" s="2" t="str">
        <f>_xlfn.XLOOKUP(D289,Products!A:A,Products!B:B)</f>
        <v>Headphones</v>
      </c>
      <c r="M289" s="2" t="str">
        <f>_xlfn.XLOOKUP(D289,Products!A:A,Products!C:C)</f>
        <v>Electronics</v>
      </c>
      <c r="N289" s="2" t="str">
        <f>_xlfn.XLOOKUP(D289,Products!A:A,Products!D:D)</f>
        <v>Sony</v>
      </c>
      <c r="O289" s="2">
        <f>_xlfn.XLOOKUP(D289,Products!A:A,Products!E:E)</f>
        <v>1800</v>
      </c>
      <c r="P289" s="2">
        <f>_xlfn.XLOOKUP(D289,Products!A:A,Products!F:F)</f>
        <v>3200</v>
      </c>
      <c r="Q289" s="11">
        <f t="shared" si="20"/>
        <v>11304.87394957984</v>
      </c>
      <c r="R289" s="11">
        <f t="shared" si="21"/>
        <v>1289.0216272862128</v>
      </c>
      <c r="S289" s="11">
        <f t="shared" si="22"/>
        <v>10015.852322293627</v>
      </c>
      <c r="T289" s="11">
        <f t="shared" si="23"/>
        <v>6358.9915966386598</v>
      </c>
      <c r="U289" s="11">
        <f t="shared" si="24"/>
        <v>3656.8607256549676</v>
      </c>
    </row>
    <row r="290" spans="1:21" x14ac:dyDescent="0.3">
      <c r="A290" s="2" t="s">
        <v>342</v>
      </c>
      <c r="B290" s="6">
        <v>46129</v>
      </c>
      <c r="C290" s="2" t="s">
        <v>25</v>
      </c>
      <c r="D290" s="2" t="s">
        <v>20</v>
      </c>
      <c r="E290" s="2" t="s">
        <v>21</v>
      </c>
      <c r="F290" s="2" t="s">
        <v>39</v>
      </c>
      <c r="G290" s="2" t="s">
        <v>23</v>
      </c>
      <c r="H290" s="11">
        <v>3.5363265306122398</v>
      </c>
      <c r="I290" s="7">
        <v>0.11417142857142901</v>
      </c>
      <c r="J290" s="11">
        <v>1.4840816326530599</v>
      </c>
      <c r="K290" s="2" t="s">
        <v>17</v>
      </c>
      <c r="L290" s="2" t="str">
        <f>_xlfn.XLOOKUP(D290,Products!A:A,Products!B:B)</f>
        <v>Jeans</v>
      </c>
      <c r="M290" s="2" t="str">
        <f>_xlfn.XLOOKUP(D290,Products!A:A,Products!C:C)</f>
        <v>Clothing</v>
      </c>
      <c r="N290" s="2" t="str">
        <f>_xlfn.XLOOKUP(D290,Products!A:A,Products!D:D)</f>
        <v>Wrangler</v>
      </c>
      <c r="O290" s="2">
        <f>_xlfn.XLOOKUP(D290,Products!A:A,Products!E:E)</f>
        <v>1100</v>
      </c>
      <c r="P290" s="2">
        <f>_xlfn.XLOOKUP(D290,Products!A:A,Products!F:F)</f>
        <v>2200</v>
      </c>
      <c r="Q290" s="11">
        <f t="shared" si="20"/>
        <v>7779.9183673469279</v>
      </c>
      <c r="R290" s="11">
        <f t="shared" si="21"/>
        <v>888.24439416909831</v>
      </c>
      <c r="S290" s="11">
        <f t="shared" si="22"/>
        <v>6891.6739731778298</v>
      </c>
      <c r="T290" s="11">
        <f t="shared" si="23"/>
        <v>3889.9591836734639</v>
      </c>
      <c r="U290" s="11">
        <f t="shared" si="24"/>
        <v>3001.7147895043659</v>
      </c>
    </row>
    <row r="291" spans="1:21" x14ac:dyDescent="0.3">
      <c r="A291" s="2" t="s">
        <v>343</v>
      </c>
      <c r="B291" s="6">
        <v>46129</v>
      </c>
      <c r="C291" s="2" t="s">
        <v>32</v>
      </c>
      <c r="D291" s="2" t="s">
        <v>40</v>
      </c>
      <c r="E291" s="2" t="s">
        <v>38</v>
      </c>
      <c r="F291" s="2" t="s">
        <v>15</v>
      </c>
      <c r="G291" s="2" t="s">
        <v>16</v>
      </c>
      <c r="H291" s="11">
        <v>3.5398799519807902</v>
      </c>
      <c r="I291" s="7">
        <v>0.114319327731092</v>
      </c>
      <c r="J291" s="11">
        <v>1.4720288115246101</v>
      </c>
      <c r="K291" s="2" t="s">
        <v>17</v>
      </c>
      <c r="L291" s="2" t="str">
        <f>_xlfn.XLOOKUP(D291,Products!A:A,Products!B:B)</f>
        <v>Office Chair</v>
      </c>
      <c r="M291" s="2" t="str">
        <f>_xlfn.XLOOKUP(D291,Products!A:A,Products!C:C)</f>
        <v>Furniture</v>
      </c>
      <c r="N291" s="2" t="str">
        <f>_xlfn.XLOOKUP(D291,Products!A:A,Products!D:D)</f>
        <v>Featherlite</v>
      </c>
      <c r="O291" s="2">
        <f>_xlfn.XLOOKUP(D291,Products!A:A,Products!E:E)</f>
        <v>4500</v>
      </c>
      <c r="P291" s="2">
        <f>_xlfn.XLOOKUP(D291,Products!A:A,Products!F:F)</f>
        <v>7500</v>
      </c>
      <c r="Q291" s="11">
        <f t="shared" si="20"/>
        <v>26549.099639855925</v>
      </c>
      <c r="R291" s="11">
        <f t="shared" si="21"/>
        <v>3035.0752226941063</v>
      </c>
      <c r="S291" s="11">
        <f t="shared" si="22"/>
        <v>23514.024417161818</v>
      </c>
      <c r="T291" s="11">
        <f t="shared" si="23"/>
        <v>15929.459783913557</v>
      </c>
      <c r="U291" s="11">
        <f t="shared" si="24"/>
        <v>7584.5646332482611</v>
      </c>
    </row>
    <row r="292" spans="1:21" x14ac:dyDescent="0.3">
      <c r="A292" s="2" t="s">
        <v>344</v>
      </c>
      <c r="B292" s="6">
        <v>46130</v>
      </c>
      <c r="C292" s="2" t="s">
        <v>34</v>
      </c>
      <c r="D292" s="2" t="s">
        <v>26</v>
      </c>
      <c r="E292" s="2" t="s">
        <v>44</v>
      </c>
      <c r="F292" s="2" t="s">
        <v>22</v>
      </c>
      <c r="G292" s="2" t="s">
        <v>42</v>
      </c>
      <c r="H292" s="11">
        <v>3.5434333733493402</v>
      </c>
      <c r="I292" s="7">
        <v>0.114467226890756</v>
      </c>
      <c r="J292" s="11">
        <v>1.45997599039616</v>
      </c>
      <c r="K292" s="2" t="s">
        <v>17</v>
      </c>
      <c r="L292" s="2" t="str">
        <f>_xlfn.XLOOKUP(D292,Products!A:A,Products!B:B)</f>
        <v>Face Wash</v>
      </c>
      <c r="M292" s="2" t="str">
        <f>_xlfn.XLOOKUP(D292,Products!A:A,Products!C:C)</f>
        <v>Beauty</v>
      </c>
      <c r="N292" s="2" t="str">
        <f>_xlfn.XLOOKUP(D292,Products!A:A,Products!D:D)</f>
        <v>Nivea</v>
      </c>
      <c r="O292" s="2">
        <f>_xlfn.XLOOKUP(D292,Products!A:A,Products!E:E)</f>
        <v>180</v>
      </c>
      <c r="P292" s="2">
        <f>_xlfn.XLOOKUP(D292,Products!A:A,Products!F:F)</f>
        <v>350</v>
      </c>
      <c r="Q292" s="11">
        <f t="shared" si="20"/>
        <v>1240.201680672269</v>
      </c>
      <c r="R292" s="11">
        <f t="shared" si="21"/>
        <v>141.96244717180954</v>
      </c>
      <c r="S292" s="11">
        <f t="shared" si="22"/>
        <v>1098.2392335004595</v>
      </c>
      <c r="T292" s="11">
        <f t="shared" si="23"/>
        <v>637.81800720288118</v>
      </c>
      <c r="U292" s="11">
        <f t="shared" si="24"/>
        <v>460.4212262975783</v>
      </c>
    </row>
    <row r="293" spans="1:21" x14ac:dyDescent="0.3">
      <c r="A293" s="2" t="s">
        <v>345</v>
      </c>
      <c r="B293" s="6">
        <v>46130</v>
      </c>
      <c r="C293" s="2" t="s">
        <v>36</v>
      </c>
      <c r="D293" s="2" t="s">
        <v>47</v>
      </c>
      <c r="E293" s="2" t="s">
        <v>14</v>
      </c>
      <c r="F293" s="2" t="s">
        <v>41</v>
      </c>
      <c r="G293" s="2" t="s">
        <v>23</v>
      </c>
      <c r="H293" s="11">
        <v>3.5469867947178799</v>
      </c>
      <c r="I293" s="7">
        <v>0.11461512605042</v>
      </c>
      <c r="J293" s="11">
        <v>1.4479231692677099</v>
      </c>
      <c r="K293" s="2" t="s">
        <v>17</v>
      </c>
      <c r="L293" s="2" t="str">
        <f>_xlfn.XLOOKUP(D293,Products!A:A,Products!B:B)</f>
        <v>Mixer Grinder</v>
      </c>
      <c r="M293" s="2" t="str">
        <f>_xlfn.XLOOKUP(D293,Products!A:A,Products!C:C)</f>
        <v>Home Appliances</v>
      </c>
      <c r="N293" s="2" t="str">
        <f>_xlfn.XLOOKUP(D293,Products!A:A,Products!D:D)</f>
        <v>Philips</v>
      </c>
      <c r="O293" s="2">
        <f>_xlfn.XLOOKUP(D293,Products!A:A,Products!E:E)</f>
        <v>2800</v>
      </c>
      <c r="P293" s="2">
        <f>_xlfn.XLOOKUP(D293,Products!A:A,Products!F:F)</f>
        <v>4800</v>
      </c>
      <c r="Q293" s="11">
        <f t="shared" si="20"/>
        <v>17025.536614645822</v>
      </c>
      <c r="R293" s="11">
        <f t="shared" si="21"/>
        <v>1951.3840251636718</v>
      </c>
      <c r="S293" s="11">
        <f t="shared" si="22"/>
        <v>15074.15258948215</v>
      </c>
      <c r="T293" s="11">
        <f t="shared" si="23"/>
        <v>9931.5630252100636</v>
      </c>
      <c r="U293" s="11">
        <f t="shared" si="24"/>
        <v>5142.5895642720861</v>
      </c>
    </row>
    <row r="294" spans="1:21" x14ac:dyDescent="0.3">
      <c r="A294" s="2" t="s">
        <v>346</v>
      </c>
      <c r="B294" s="6">
        <v>46131</v>
      </c>
      <c r="C294" s="2" t="s">
        <v>46</v>
      </c>
      <c r="D294" s="2" t="s">
        <v>43</v>
      </c>
      <c r="E294" s="2" t="s">
        <v>27</v>
      </c>
      <c r="F294" s="2" t="s">
        <v>15</v>
      </c>
      <c r="G294" s="2" t="s">
        <v>16</v>
      </c>
      <c r="H294" s="11">
        <v>3.5505402160864299</v>
      </c>
      <c r="I294" s="7">
        <v>0.114763025210084</v>
      </c>
      <c r="J294" s="11">
        <v>1.4358703481392601</v>
      </c>
      <c r="K294" s="2" t="s">
        <v>17</v>
      </c>
      <c r="L294" s="2" t="str">
        <f>_xlfn.XLOOKUP(D294,Products!A:A,Products!B:B)</f>
        <v>Smartphone</v>
      </c>
      <c r="M294" s="2" t="str">
        <f>_xlfn.XLOOKUP(D294,Products!A:A,Products!C:C)</f>
        <v>Electronics</v>
      </c>
      <c r="N294" s="2" t="str">
        <f>_xlfn.XLOOKUP(D294,Products!A:A,Products!D:D)</f>
        <v>Samsung</v>
      </c>
      <c r="O294" s="2">
        <f>_xlfn.XLOOKUP(D294,Products!A:A,Products!E:E)</f>
        <v>14000</v>
      </c>
      <c r="P294" s="2">
        <f>_xlfn.XLOOKUP(D294,Products!A:A,Products!F:F)</f>
        <v>22000</v>
      </c>
      <c r="Q294" s="11">
        <f t="shared" si="20"/>
        <v>78111.884753901453</v>
      </c>
      <c r="R294" s="11">
        <f t="shared" si="21"/>
        <v>8964.356199219168</v>
      </c>
      <c r="S294" s="11">
        <f t="shared" si="22"/>
        <v>69147.528554682285</v>
      </c>
      <c r="T294" s="11">
        <f t="shared" si="23"/>
        <v>49707.563025210016</v>
      </c>
      <c r="U294" s="11">
        <f t="shared" si="24"/>
        <v>19439.965529472269</v>
      </c>
    </row>
    <row r="295" spans="1:21" x14ac:dyDescent="0.3">
      <c r="A295" s="2" t="s">
        <v>347</v>
      </c>
      <c r="B295" s="6">
        <v>46131</v>
      </c>
      <c r="C295" s="2" t="s">
        <v>50</v>
      </c>
      <c r="D295" s="2" t="s">
        <v>51</v>
      </c>
      <c r="E295" s="2" t="s">
        <v>21</v>
      </c>
      <c r="F295" s="2" t="s">
        <v>52</v>
      </c>
      <c r="G295" s="2" t="s">
        <v>29</v>
      </c>
      <c r="H295" s="11">
        <v>3.5540936374549799</v>
      </c>
      <c r="I295" s="7">
        <v>0.11491092436974799</v>
      </c>
      <c r="J295" s="11">
        <v>1.4238175270108</v>
      </c>
      <c r="K295" s="2" t="s">
        <v>30</v>
      </c>
      <c r="L295" s="2" t="str">
        <f>_xlfn.XLOOKUP(D295,Products!A:A,Products!B:B)</f>
        <v>Shirt</v>
      </c>
      <c r="M295" s="2" t="str">
        <f>_xlfn.XLOOKUP(D295,Products!A:A,Products!C:C)</f>
        <v>Clothing</v>
      </c>
      <c r="N295" s="2" t="str">
        <f>_xlfn.XLOOKUP(D295,Products!A:A,Products!D:D)</f>
        <v>Levis</v>
      </c>
      <c r="O295" s="2">
        <f>_xlfn.XLOOKUP(D295,Products!A:A,Products!E:E)</f>
        <v>700</v>
      </c>
      <c r="P295" s="2">
        <f>_xlfn.XLOOKUP(D295,Products!A:A,Products!F:F)</f>
        <v>1500</v>
      </c>
      <c r="Q295" s="11">
        <f t="shared" si="20"/>
        <v>5331.1404561824702</v>
      </c>
      <c r="R295" s="11">
        <f t="shared" si="21"/>
        <v>612.60627776488764</v>
      </c>
      <c r="S295" s="11">
        <f t="shared" si="22"/>
        <v>4718.5341784175826</v>
      </c>
      <c r="T295" s="11">
        <f t="shared" si="23"/>
        <v>2487.8655462184861</v>
      </c>
      <c r="U295" s="11">
        <f t="shared" si="24"/>
        <v>2230.6686321990965</v>
      </c>
    </row>
    <row r="296" spans="1:21" x14ac:dyDescent="0.3">
      <c r="A296" s="2" t="s">
        <v>348</v>
      </c>
      <c r="B296" s="6">
        <v>46132</v>
      </c>
      <c r="C296" s="2" t="s">
        <v>54</v>
      </c>
      <c r="D296" s="2" t="s">
        <v>55</v>
      </c>
      <c r="E296" s="2" t="s">
        <v>38</v>
      </c>
      <c r="F296" s="2" t="s">
        <v>22</v>
      </c>
      <c r="G296" s="2" t="s">
        <v>16</v>
      </c>
      <c r="H296" s="11">
        <v>3.5576470588235298</v>
      </c>
      <c r="I296" s="7">
        <v>0.115058823529412</v>
      </c>
      <c r="J296" s="11">
        <v>1.4117647058823499</v>
      </c>
      <c r="K296" s="2" t="s">
        <v>17</v>
      </c>
      <c r="L296" s="2" t="str">
        <f>_xlfn.XLOOKUP(D296,Products!A:A,Products!B:B)</f>
        <v>Sports Shoes</v>
      </c>
      <c r="M296" s="2" t="str">
        <f>_xlfn.XLOOKUP(D296,Products!A:A,Products!C:C)</f>
        <v>Sports</v>
      </c>
      <c r="N296" s="2" t="str">
        <f>_xlfn.XLOOKUP(D296,Products!A:A,Products!D:D)</f>
        <v>Nike</v>
      </c>
      <c r="O296" s="2">
        <f>_xlfn.XLOOKUP(D296,Products!A:A,Products!E:E)</f>
        <v>2200</v>
      </c>
      <c r="P296" s="2">
        <f>_xlfn.XLOOKUP(D296,Products!A:A,Products!F:F)</f>
        <v>4500</v>
      </c>
      <c r="Q296" s="11">
        <f t="shared" si="20"/>
        <v>16009.411764705885</v>
      </c>
      <c r="R296" s="11">
        <f t="shared" si="21"/>
        <v>1842.0240830449868</v>
      </c>
      <c r="S296" s="11">
        <f t="shared" si="22"/>
        <v>14167.387681660897</v>
      </c>
      <c r="T296" s="11">
        <f t="shared" si="23"/>
        <v>7826.8235294117658</v>
      </c>
      <c r="U296" s="11">
        <f t="shared" si="24"/>
        <v>6340.5641522491314</v>
      </c>
    </row>
    <row r="297" spans="1:21" x14ac:dyDescent="0.3">
      <c r="A297" s="2" t="s">
        <v>349</v>
      </c>
      <c r="B297" s="6">
        <v>46132</v>
      </c>
      <c r="C297" s="2" t="s">
        <v>57</v>
      </c>
      <c r="D297" s="2" t="s">
        <v>58</v>
      </c>
      <c r="E297" s="2" t="s">
        <v>44</v>
      </c>
      <c r="F297" s="2" t="s">
        <v>15</v>
      </c>
      <c r="G297" s="2" t="s">
        <v>23</v>
      </c>
      <c r="H297" s="11">
        <v>3.56120048019207</v>
      </c>
      <c r="I297" s="7">
        <v>0.115206722689076</v>
      </c>
      <c r="J297" s="11">
        <v>1.3997118847539001</v>
      </c>
      <c r="K297" s="2" t="s">
        <v>17</v>
      </c>
      <c r="L297" s="2" t="str">
        <f>_xlfn.XLOOKUP(D297,Products!A:A,Products!B:B)</f>
        <v>Study Table</v>
      </c>
      <c r="M297" s="2" t="str">
        <f>_xlfn.XLOOKUP(D297,Products!A:A,Products!C:C)</f>
        <v>Furniture</v>
      </c>
      <c r="N297" s="2" t="str">
        <f>_xlfn.XLOOKUP(D297,Products!A:A,Products!D:D)</f>
        <v>Ikea</v>
      </c>
      <c r="O297" s="2">
        <f>_xlfn.XLOOKUP(D297,Products!A:A,Products!E:E)</f>
        <v>5000</v>
      </c>
      <c r="P297" s="2">
        <f>_xlfn.XLOOKUP(D297,Products!A:A,Products!F:F)</f>
        <v>8500</v>
      </c>
      <c r="Q297" s="11">
        <f t="shared" si="20"/>
        <v>30270.204081632593</v>
      </c>
      <c r="R297" s="11">
        <f t="shared" si="21"/>
        <v>3487.3310073743828</v>
      </c>
      <c r="S297" s="11">
        <f t="shared" si="22"/>
        <v>26782.873074258212</v>
      </c>
      <c r="T297" s="11">
        <f t="shared" si="23"/>
        <v>17806.002400960351</v>
      </c>
      <c r="U297" s="11">
        <f t="shared" si="24"/>
        <v>8976.8706732978608</v>
      </c>
    </row>
    <row r="298" spans="1:21" x14ac:dyDescent="0.3">
      <c r="A298" s="2" t="s">
        <v>350</v>
      </c>
      <c r="B298" s="6">
        <v>46133</v>
      </c>
      <c r="C298" s="2" t="s">
        <v>60</v>
      </c>
      <c r="D298" s="2" t="s">
        <v>13</v>
      </c>
      <c r="E298" s="2" t="s">
        <v>14</v>
      </c>
      <c r="F298" s="2" t="s">
        <v>39</v>
      </c>
      <c r="G298" s="2" t="s">
        <v>16</v>
      </c>
      <c r="H298" s="11">
        <v>3.56475390156062</v>
      </c>
      <c r="I298" s="7">
        <v>0.11535462184874</v>
      </c>
      <c r="J298" s="11">
        <v>1.38765906362545</v>
      </c>
      <c r="K298" s="2" t="s">
        <v>17</v>
      </c>
      <c r="L298" s="2" t="str">
        <f>_xlfn.XLOOKUP(D298,Products!A:A,Products!B:B)</f>
        <v>Laptop</v>
      </c>
      <c r="M298" s="2" t="str">
        <f>_xlfn.XLOOKUP(D298,Products!A:A,Products!C:C)</f>
        <v>Electronics</v>
      </c>
      <c r="N298" s="2" t="str">
        <f>_xlfn.XLOOKUP(D298,Products!A:A,Products!D:D)</f>
        <v>HP</v>
      </c>
      <c r="O298" s="2">
        <f>_xlfn.XLOOKUP(D298,Products!A:A,Products!E:E)</f>
        <v>42000</v>
      </c>
      <c r="P298" s="2">
        <f>_xlfn.XLOOKUP(D298,Products!A:A,Products!F:F)</f>
        <v>55000</v>
      </c>
      <c r="Q298" s="11">
        <f t="shared" si="20"/>
        <v>196061.4645858341</v>
      </c>
      <c r="R298" s="11">
        <f t="shared" si="21"/>
        <v>22616.596106409022</v>
      </c>
      <c r="S298" s="11">
        <f t="shared" si="22"/>
        <v>173444.86847942509</v>
      </c>
      <c r="T298" s="11">
        <f t="shared" si="23"/>
        <v>149719.66386554603</v>
      </c>
      <c r="U298" s="11">
        <f t="shared" si="24"/>
        <v>23725.204613879061</v>
      </c>
    </row>
    <row r="299" spans="1:21" x14ac:dyDescent="0.3">
      <c r="A299" s="2" t="s">
        <v>351</v>
      </c>
      <c r="B299" s="6">
        <v>46133</v>
      </c>
      <c r="C299" s="2" t="s">
        <v>62</v>
      </c>
      <c r="D299" s="2" t="s">
        <v>20</v>
      </c>
      <c r="E299" s="2" t="s">
        <v>27</v>
      </c>
      <c r="F299" s="2" t="s">
        <v>15</v>
      </c>
      <c r="G299" s="2" t="s">
        <v>29</v>
      </c>
      <c r="H299" s="11">
        <v>3.56830732292917</v>
      </c>
      <c r="I299" s="7">
        <v>0.115502521008403</v>
      </c>
      <c r="J299" s="11">
        <v>1.3756062424969999</v>
      </c>
      <c r="K299" s="2" t="s">
        <v>17</v>
      </c>
      <c r="L299" s="2" t="str">
        <f>_xlfn.XLOOKUP(D299,Products!A:A,Products!B:B)</f>
        <v>Jeans</v>
      </c>
      <c r="M299" s="2" t="str">
        <f>_xlfn.XLOOKUP(D299,Products!A:A,Products!C:C)</f>
        <v>Clothing</v>
      </c>
      <c r="N299" s="2" t="str">
        <f>_xlfn.XLOOKUP(D299,Products!A:A,Products!D:D)</f>
        <v>Wrangler</v>
      </c>
      <c r="O299" s="2">
        <f>_xlfn.XLOOKUP(D299,Products!A:A,Products!E:E)</f>
        <v>1100</v>
      </c>
      <c r="P299" s="2">
        <f>_xlfn.XLOOKUP(D299,Products!A:A,Products!F:F)</f>
        <v>2200</v>
      </c>
      <c r="Q299" s="11">
        <f t="shared" si="20"/>
        <v>7850.2761104441743</v>
      </c>
      <c r="R299" s="11">
        <f t="shared" si="21"/>
        <v>906.72668136834238</v>
      </c>
      <c r="S299" s="11">
        <f t="shared" si="22"/>
        <v>6943.5494290758315</v>
      </c>
      <c r="T299" s="11">
        <f t="shared" si="23"/>
        <v>3925.1380552220871</v>
      </c>
      <c r="U299" s="11">
        <f t="shared" si="24"/>
        <v>3018.4113738537444</v>
      </c>
    </row>
    <row r="300" spans="1:21" x14ac:dyDescent="0.3">
      <c r="A300" s="2" t="s">
        <v>352</v>
      </c>
      <c r="B300" s="6">
        <v>46134</v>
      </c>
      <c r="C300" s="2" t="s">
        <v>64</v>
      </c>
      <c r="D300" s="2" t="s">
        <v>26</v>
      </c>
      <c r="E300" s="2" t="s">
        <v>21</v>
      </c>
      <c r="F300" s="2" t="s">
        <v>41</v>
      </c>
      <c r="G300" s="2" t="s">
        <v>23</v>
      </c>
      <c r="H300" s="11">
        <v>3.5718607442977199</v>
      </c>
      <c r="I300" s="7">
        <v>0.11565042016806699</v>
      </c>
      <c r="J300" s="11">
        <v>1.3635534213685501</v>
      </c>
      <c r="K300" s="2" t="s">
        <v>17</v>
      </c>
      <c r="L300" s="2" t="str">
        <f>_xlfn.XLOOKUP(D300,Products!A:A,Products!B:B)</f>
        <v>Face Wash</v>
      </c>
      <c r="M300" s="2" t="str">
        <f>_xlfn.XLOOKUP(D300,Products!A:A,Products!C:C)</f>
        <v>Beauty</v>
      </c>
      <c r="N300" s="2" t="str">
        <f>_xlfn.XLOOKUP(D300,Products!A:A,Products!D:D)</f>
        <v>Nivea</v>
      </c>
      <c r="O300" s="2">
        <f>_xlfn.XLOOKUP(D300,Products!A:A,Products!E:E)</f>
        <v>180</v>
      </c>
      <c r="P300" s="2">
        <f>_xlfn.XLOOKUP(D300,Products!A:A,Products!F:F)</f>
        <v>350</v>
      </c>
      <c r="Q300" s="11">
        <f t="shared" si="20"/>
        <v>1250.1512605042019</v>
      </c>
      <c r="R300" s="11">
        <f t="shared" si="21"/>
        <v>144.58051855094953</v>
      </c>
      <c r="S300" s="11">
        <f t="shared" si="22"/>
        <v>1105.5707419532523</v>
      </c>
      <c r="T300" s="11">
        <f t="shared" si="23"/>
        <v>642.93493397358964</v>
      </c>
      <c r="U300" s="11">
        <f t="shared" si="24"/>
        <v>462.63580797966267</v>
      </c>
    </row>
    <row r="301" spans="1:21" x14ac:dyDescent="0.3">
      <c r="A301" s="2" t="s">
        <v>353</v>
      </c>
      <c r="B301" s="6">
        <v>46134</v>
      </c>
      <c r="C301" s="2" t="s">
        <v>66</v>
      </c>
      <c r="D301" s="2" t="s">
        <v>37</v>
      </c>
      <c r="E301" s="2" t="s">
        <v>38</v>
      </c>
      <c r="F301" s="2" t="s">
        <v>22</v>
      </c>
      <c r="G301" s="2" t="s">
        <v>16</v>
      </c>
      <c r="H301" s="11">
        <v>3.5754141656662601</v>
      </c>
      <c r="I301" s="7">
        <v>0.11579831932773101</v>
      </c>
      <c r="J301" s="11">
        <v>1.3515006002401</v>
      </c>
      <c r="K301" s="2" t="s">
        <v>30</v>
      </c>
      <c r="L301" s="2" t="str">
        <f>_xlfn.XLOOKUP(D301,Products!A:A,Products!B:B)</f>
        <v>Headphones</v>
      </c>
      <c r="M301" s="2" t="str">
        <f>_xlfn.XLOOKUP(D301,Products!A:A,Products!C:C)</f>
        <v>Electronics</v>
      </c>
      <c r="N301" s="2" t="str">
        <f>_xlfn.XLOOKUP(D301,Products!A:A,Products!D:D)</f>
        <v>Sony</v>
      </c>
      <c r="O301" s="2">
        <f>_xlfn.XLOOKUP(D301,Products!A:A,Products!E:E)</f>
        <v>1800</v>
      </c>
      <c r="P301" s="2">
        <f>_xlfn.XLOOKUP(D301,Products!A:A,Products!F:F)</f>
        <v>3200</v>
      </c>
      <c r="Q301" s="11">
        <f t="shared" si="20"/>
        <v>11441.325330132033</v>
      </c>
      <c r="R301" s="11">
        <f t="shared" si="21"/>
        <v>1324.8862441110864</v>
      </c>
      <c r="S301" s="11">
        <f t="shared" si="22"/>
        <v>10116.439086020946</v>
      </c>
      <c r="T301" s="11">
        <f t="shared" si="23"/>
        <v>6435.7454981992687</v>
      </c>
      <c r="U301" s="11">
        <f t="shared" si="24"/>
        <v>3680.6935878216773</v>
      </c>
    </row>
    <row r="302" spans="1:21" x14ac:dyDescent="0.3">
      <c r="A302" s="2" t="s">
        <v>354</v>
      </c>
      <c r="B302" s="6">
        <v>46135</v>
      </c>
      <c r="C302" s="2" t="s">
        <v>68</v>
      </c>
      <c r="D302" s="2" t="s">
        <v>40</v>
      </c>
      <c r="E302" s="2" t="s">
        <v>44</v>
      </c>
      <c r="F302" s="2" t="s">
        <v>15</v>
      </c>
      <c r="G302" s="2" t="s">
        <v>42</v>
      </c>
      <c r="H302" s="11">
        <v>3.5789675870348101</v>
      </c>
      <c r="I302" s="7">
        <v>0.115946218487395</v>
      </c>
      <c r="J302" s="11">
        <v>1.3394477791116399</v>
      </c>
      <c r="K302" s="2" t="s">
        <v>17</v>
      </c>
      <c r="L302" s="2" t="str">
        <f>_xlfn.XLOOKUP(D302,Products!A:A,Products!B:B)</f>
        <v>Office Chair</v>
      </c>
      <c r="M302" s="2" t="str">
        <f>_xlfn.XLOOKUP(D302,Products!A:A,Products!C:C)</f>
        <v>Furniture</v>
      </c>
      <c r="N302" s="2" t="str">
        <f>_xlfn.XLOOKUP(D302,Products!A:A,Products!D:D)</f>
        <v>Featherlite</v>
      </c>
      <c r="O302" s="2">
        <f>_xlfn.XLOOKUP(D302,Products!A:A,Products!E:E)</f>
        <v>4500</v>
      </c>
      <c r="P302" s="2">
        <f>_xlfn.XLOOKUP(D302,Products!A:A,Products!F:F)</f>
        <v>7500</v>
      </c>
      <c r="Q302" s="11">
        <f t="shared" si="20"/>
        <v>26842.256902761077</v>
      </c>
      <c r="R302" s="11">
        <f t="shared" si="21"/>
        <v>3112.2581835423225</v>
      </c>
      <c r="S302" s="11">
        <f t="shared" si="22"/>
        <v>23729.998719218755</v>
      </c>
      <c r="T302" s="11">
        <f t="shared" si="23"/>
        <v>16105.354141656646</v>
      </c>
      <c r="U302" s="11">
        <f t="shared" si="24"/>
        <v>7624.6445775621087</v>
      </c>
    </row>
    <row r="303" spans="1:21" x14ac:dyDescent="0.3">
      <c r="A303" s="2" t="s">
        <v>355</v>
      </c>
      <c r="B303" s="6">
        <v>46135</v>
      </c>
      <c r="C303" s="2" t="s">
        <v>12</v>
      </c>
      <c r="D303" s="2" t="s">
        <v>47</v>
      </c>
      <c r="E303" s="2" t="s">
        <v>14</v>
      </c>
      <c r="F303" s="2" t="s">
        <v>52</v>
      </c>
      <c r="G303" s="2" t="s">
        <v>16</v>
      </c>
      <c r="H303" s="11">
        <v>3.5825210084033601</v>
      </c>
      <c r="I303" s="7">
        <v>0.116094117647059</v>
      </c>
      <c r="J303" s="11">
        <v>1.3273949579831901</v>
      </c>
      <c r="K303" s="2" t="s">
        <v>17</v>
      </c>
      <c r="L303" s="2" t="str">
        <f>_xlfn.XLOOKUP(D303,Products!A:A,Products!B:B)</f>
        <v>Mixer Grinder</v>
      </c>
      <c r="M303" s="2" t="str">
        <f>_xlfn.XLOOKUP(D303,Products!A:A,Products!C:C)</f>
        <v>Home Appliances</v>
      </c>
      <c r="N303" s="2" t="str">
        <f>_xlfn.XLOOKUP(D303,Products!A:A,Products!D:D)</f>
        <v>Philips</v>
      </c>
      <c r="O303" s="2">
        <f>_xlfn.XLOOKUP(D303,Products!A:A,Products!E:E)</f>
        <v>2800</v>
      </c>
      <c r="P303" s="2">
        <f>_xlfn.XLOOKUP(D303,Products!A:A,Products!F:F)</f>
        <v>4800</v>
      </c>
      <c r="Q303" s="11">
        <f t="shared" si="20"/>
        <v>17196.100840336127</v>
      </c>
      <c r="R303" s="11">
        <f t="shared" si="21"/>
        <v>1996.3661540286723</v>
      </c>
      <c r="S303" s="11">
        <f t="shared" si="22"/>
        <v>15199.734686307454</v>
      </c>
      <c r="T303" s="11">
        <f t="shared" si="23"/>
        <v>10031.058823529409</v>
      </c>
      <c r="U303" s="11">
        <f t="shared" si="24"/>
        <v>5168.6758627780455</v>
      </c>
    </row>
    <row r="304" spans="1:21" x14ac:dyDescent="0.3">
      <c r="A304" s="2" t="s">
        <v>356</v>
      </c>
      <c r="B304" s="6">
        <v>46136</v>
      </c>
      <c r="C304" s="2" t="s">
        <v>19</v>
      </c>
      <c r="D304" s="2" t="s">
        <v>43</v>
      </c>
      <c r="E304" s="2" t="s">
        <v>27</v>
      </c>
      <c r="F304" s="2" t="s">
        <v>22</v>
      </c>
      <c r="G304" s="2" t="s">
        <v>23</v>
      </c>
      <c r="H304" s="11">
        <v>3.58607442977191</v>
      </c>
      <c r="I304" s="7">
        <v>0.116242016806723</v>
      </c>
      <c r="J304" s="11">
        <v>1.31534213685474</v>
      </c>
      <c r="K304" s="2" t="s">
        <v>17</v>
      </c>
      <c r="L304" s="2" t="str">
        <f>_xlfn.XLOOKUP(D304,Products!A:A,Products!B:B)</f>
        <v>Smartphone</v>
      </c>
      <c r="M304" s="2" t="str">
        <f>_xlfn.XLOOKUP(D304,Products!A:A,Products!C:C)</f>
        <v>Electronics</v>
      </c>
      <c r="N304" s="2" t="str">
        <f>_xlfn.XLOOKUP(D304,Products!A:A,Products!D:D)</f>
        <v>Samsung</v>
      </c>
      <c r="O304" s="2">
        <f>_xlfn.XLOOKUP(D304,Products!A:A,Products!E:E)</f>
        <v>14000</v>
      </c>
      <c r="P304" s="2">
        <f>_xlfn.XLOOKUP(D304,Products!A:A,Products!F:F)</f>
        <v>22000</v>
      </c>
      <c r="Q304" s="11">
        <f t="shared" si="20"/>
        <v>78893.637454982018</v>
      </c>
      <c r="R304" s="11">
        <f t="shared" si="21"/>
        <v>9170.7555309855306</v>
      </c>
      <c r="S304" s="11">
        <f t="shared" si="22"/>
        <v>69722.881923996494</v>
      </c>
      <c r="T304" s="11">
        <f t="shared" si="23"/>
        <v>50205.042016806743</v>
      </c>
      <c r="U304" s="11">
        <f t="shared" si="24"/>
        <v>19517.839907189751</v>
      </c>
    </row>
    <row r="305" spans="1:21" x14ac:dyDescent="0.3">
      <c r="A305" s="2" t="s">
        <v>357</v>
      </c>
      <c r="B305" s="6">
        <v>46136</v>
      </c>
      <c r="C305" s="2" t="s">
        <v>25</v>
      </c>
      <c r="D305" s="2" t="s">
        <v>51</v>
      </c>
      <c r="E305" s="2" t="s">
        <v>21</v>
      </c>
      <c r="F305" s="2" t="s">
        <v>15</v>
      </c>
      <c r="G305" s="2" t="s">
        <v>29</v>
      </c>
      <c r="H305" s="11">
        <v>3.5896278511404498</v>
      </c>
      <c r="I305" s="7">
        <v>0.11638991596638699</v>
      </c>
      <c r="J305" s="11">
        <v>1.3032893157262899</v>
      </c>
      <c r="K305" s="2" t="s">
        <v>17</v>
      </c>
      <c r="L305" s="2" t="str">
        <f>_xlfn.XLOOKUP(D305,Products!A:A,Products!B:B)</f>
        <v>Shirt</v>
      </c>
      <c r="M305" s="2" t="str">
        <f>_xlfn.XLOOKUP(D305,Products!A:A,Products!C:C)</f>
        <v>Clothing</v>
      </c>
      <c r="N305" s="2" t="str">
        <f>_xlfn.XLOOKUP(D305,Products!A:A,Products!D:D)</f>
        <v>Levis</v>
      </c>
      <c r="O305" s="2">
        <f>_xlfn.XLOOKUP(D305,Products!A:A,Products!E:E)</f>
        <v>700</v>
      </c>
      <c r="P305" s="2">
        <f>_xlfn.XLOOKUP(D305,Products!A:A,Products!F:F)</f>
        <v>1500</v>
      </c>
      <c r="Q305" s="11">
        <f t="shared" si="20"/>
        <v>5384.4417767106743</v>
      </c>
      <c r="R305" s="11">
        <f t="shared" si="21"/>
        <v>626.69472591725889</v>
      </c>
      <c r="S305" s="11">
        <f t="shared" si="22"/>
        <v>4757.7470507934158</v>
      </c>
      <c r="T305" s="11">
        <f t="shared" si="23"/>
        <v>2512.7394957983147</v>
      </c>
      <c r="U305" s="11">
        <f t="shared" si="24"/>
        <v>2245.0075549951011</v>
      </c>
    </row>
    <row r="306" spans="1:21" x14ac:dyDescent="0.3">
      <c r="A306" s="2" t="s">
        <v>358</v>
      </c>
      <c r="B306" s="6">
        <v>46137</v>
      </c>
      <c r="C306" s="2" t="s">
        <v>32</v>
      </c>
      <c r="D306" s="2" t="s">
        <v>55</v>
      </c>
      <c r="E306" s="2" t="s">
        <v>38</v>
      </c>
      <c r="F306" s="2" t="s">
        <v>39</v>
      </c>
      <c r="G306" s="2" t="s">
        <v>16</v>
      </c>
      <c r="H306" s="11">
        <v>3.5931812725090002</v>
      </c>
      <c r="I306" s="7">
        <v>0.11653781512605001</v>
      </c>
      <c r="J306" s="11">
        <v>1.2912364945978401</v>
      </c>
      <c r="K306" s="2" t="s">
        <v>17</v>
      </c>
      <c r="L306" s="2" t="str">
        <f>_xlfn.XLOOKUP(D306,Products!A:A,Products!B:B)</f>
        <v>Sports Shoes</v>
      </c>
      <c r="M306" s="2" t="str">
        <f>_xlfn.XLOOKUP(D306,Products!A:A,Products!C:C)</f>
        <v>Sports</v>
      </c>
      <c r="N306" s="2" t="str">
        <f>_xlfn.XLOOKUP(D306,Products!A:A,Products!D:D)</f>
        <v>Nike</v>
      </c>
      <c r="O306" s="2">
        <f>_xlfn.XLOOKUP(D306,Products!A:A,Products!E:E)</f>
        <v>2200</v>
      </c>
      <c r="P306" s="2">
        <f>_xlfn.XLOOKUP(D306,Products!A:A,Products!F:F)</f>
        <v>4500</v>
      </c>
      <c r="Q306" s="11">
        <f t="shared" si="20"/>
        <v>16169.315726290501</v>
      </c>
      <c r="R306" s="11">
        <f t="shared" si="21"/>
        <v>1884.3367268251754</v>
      </c>
      <c r="S306" s="11">
        <f t="shared" si="22"/>
        <v>14284.978999465326</v>
      </c>
      <c r="T306" s="11">
        <f t="shared" si="23"/>
        <v>7904.9987995198007</v>
      </c>
      <c r="U306" s="11">
        <f t="shared" si="24"/>
        <v>6379.9801999455249</v>
      </c>
    </row>
    <row r="307" spans="1:21" x14ac:dyDescent="0.3">
      <c r="A307" s="2" t="s">
        <v>359</v>
      </c>
      <c r="B307" s="6">
        <v>46137</v>
      </c>
      <c r="C307" s="2" t="s">
        <v>34</v>
      </c>
      <c r="D307" s="2" t="s">
        <v>58</v>
      </c>
      <c r="E307" s="2" t="s">
        <v>44</v>
      </c>
      <c r="F307" s="2" t="s">
        <v>41</v>
      </c>
      <c r="G307" s="2" t="s">
        <v>23</v>
      </c>
      <c r="H307" s="11">
        <v>3.5967346938775502</v>
      </c>
      <c r="I307" s="7">
        <v>0.116685714285714</v>
      </c>
      <c r="J307" s="11">
        <v>1.27918367346939</v>
      </c>
      <c r="K307" s="2" t="s">
        <v>30</v>
      </c>
      <c r="L307" s="2" t="str">
        <f>_xlfn.XLOOKUP(D307,Products!A:A,Products!B:B)</f>
        <v>Study Table</v>
      </c>
      <c r="M307" s="2" t="str">
        <f>_xlfn.XLOOKUP(D307,Products!A:A,Products!C:C)</f>
        <v>Furniture</v>
      </c>
      <c r="N307" s="2" t="str">
        <f>_xlfn.XLOOKUP(D307,Products!A:A,Products!D:D)</f>
        <v>Ikea</v>
      </c>
      <c r="O307" s="2">
        <f>_xlfn.XLOOKUP(D307,Products!A:A,Products!E:E)</f>
        <v>5000</v>
      </c>
      <c r="P307" s="2">
        <f>_xlfn.XLOOKUP(D307,Products!A:A,Products!F:F)</f>
        <v>8500</v>
      </c>
      <c r="Q307" s="11">
        <f t="shared" si="20"/>
        <v>30572.244897959175</v>
      </c>
      <c r="R307" s="11">
        <f t="shared" si="21"/>
        <v>3567.3442332361419</v>
      </c>
      <c r="S307" s="11">
        <f t="shared" si="22"/>
        <v>27004.900664723034</v>
      </c>
      <c r="T307" s="11">
        <f t="shared" si="23"/>
        <v>17983.673469387752</v>
      </c>
      <c r="U307" s="11">
        <f t="shared" si="24"/>
        <v>9021.2271953352829</v>
      </c>
    </row>
    <row r="308" spans="1:21" x14ac:dyDescent="0.3">
      <c r="A308" s="2" t="s">
        <v>360</v>
      </c>
      <c r="B308" s="6">
        <v>46113</v>
      </c>
      <c r="C308" s="2" t="s">
        <v>12</v>
      </c>
      <c r="D308" s="2" t="s">
        <v>13</v>
      </c>
      <c r="E308" s="2" t="s">
        <v>14</v>
      </c>
      <c r="F308" s="2" t="s">
        <v>15</v>
      </c>
      <c r="G308" s="2" t="s">
        <v>16</v>
      </c>
      <c r="H308" s="11">
        <v>3.6002881152461002</v>
      </c>
      <c r="I308" s="7">
        <v>0.116833613445378</v>
      </c>
      <c r="J308" s="11">
        <v>1.2671308523409399</v>
      </c>
      <c r="K308" s="2" t="s">
        <v>17</v>
      </c>
      <c r="L308" s="2" t="str">
        <f>_xlfn.XLOOKUP(D308,Products!A:A,Products!B:B)</f>
        <v>Laptop</v>
      </c>
      <c r="M308" s="2" t="str">
        <f>_xlfn.XLOOKUP(D308,Products!A:A,Products!C:C)</f>
        <v>Electronics</v>
      </c>
      <c r="N308" s="2" t="str">
        <f>_xlfn.XLOOKUP(D308,Products!A:A,Products!D:D)</f>
        <v>HP</v>
      </c>
      <c r="O308" s="2">
        <f>_xlfn.XLOOKUP(D308,Products!A:A,Products!E:E)</f>
        <v>42000</v>
      </c>
      <c r="P308" s="2">
        <f>_xlfn.XLOOKUP(D308,Products!A:A,Products!F:F)</f>
        <v>55000</v>
      </c>
      <c r="Q308" s="11">
        <f t="shared" si="20"/>
        <v>198015.84633853551</v>
      </c>
      <c r="R308" s="11">
        <f t="shared" si="21"/>
        <v>23134.906847175826</v>
      </c>
      <c r="S308" s="11">
        <f t="shared" si="22"/>
        <v>174880.93949135969</v>
      </c>
      <c r="T308" s="11">
        <f t="shared" si="23"/>
        <v>151212.10084033621</v>
      </c>
      <c r="U308" s="11">
        <f t="shared" si="24"/>
        <v>23668.838651023485</v>
      </c>
    </row>
    <row r="309" spans="1:21" x14ac:dyDescent="0.3">
      <c r="A309" s="2" t="s">
        <v>361</v>
      </c>
      <c r="B309" s="6">
        <v>46113</v>
      </c>
      <c r="C309" s="2" t="s">
        <v>19</v>
      </c>
      <c r="D309" s="2" t="s">
        <v>20</v>
      </c>
      <c r="E309" s="2" t="s">
        <v>21</v>
      </c>
      <c r="F309" s="2" t="s">
        <v>22</v>
      </c>
      <c r="G309" s="2" t="s">
        <v>23</v>
      </c>
      <c r="H309" s="11">
        <v>3.6038415366146399</v>
      </c>
      <c r="I309" s="7">
        <v>0.116981512605042</v>
      </c>
      <c r="J309" s="11">
        <v>1.2550780312124801</v>
      </c>
      <c r="K309" s="2" t="s">
        <v>17</v>
      </c>
      <c r="L309" s="2" t="str">
        <f>_xlfn.XLOOKUP(D309,Products!A:A,Products!B:B)</f>
        <v>Jeans</v>
      </c>
      <c r="M309" s="2" t="str">
        <f>_xlfn.XLOOKUP(D309,Products!A:A,Products!C:C)</f>
        <v>Clothing</v>
      </c>
      <c r="N309" s="2" t="str">
        <f>_xlfn.XLOOKUP(D309,Products!A:A,Products!D:D)</f>
        <v>Wrangler</v>
      </c>
      <c r="O309" s="2">
        <f>_xlfn.XLOOKUP(D309,Products!A:A,Products!E:E)</f>
        <v>1100</v>
      </c>
      <c r="P309" s="2">
        <f>_xlfn.XLOOKUP(D309,Products!A:A,Products!F:F)</f>
        <v>2200</v>
      </c>
      <c r="Q309" s="11">
        <f t="shared" si="20"/>
        <v>7928.4513805522074</v>
      </c>
      <c r="R309" s="11">
        <f t="shared" si="21"/>
        <v>927.4822351125307</v>
      </c>
      <c r="S309" s="11">
        <f t="shared" si="22"/>
        <v>7000.969145439677</v>
      </c>
      <c r="T309" s="11">
        <f t="shared" si="23"/>
        <v>3964.2256902761037</v>
      </c>
      <c r="U309" s="11">
        <f t="shared" si="24"/>
        <v>3036.7434551635733</v>
      </c>
    </row>
    <row r="310" spans="1:21" x14ac:dyDescent="0.3">
      <c r="A310" s="2" t="s">
        <v>362</v>
      </c>
      <c r="B310" s="6">
        <v>46114</v>
      </c>
      <c r="C310" s="2" t="s">
        <v>25</v>
      </c>
      <c r="D310" s="2" t="s">
        <v>26</v>
      </c>
      <c r="E310" s="2" t="s">
        <v>27</v>
      </c>
      <c r="F310" s="2" t="s">
        <v>28</v>
      </c>
      <c r="G310" s="2" t="s">
        <v>29</v>
      </c>
      <c r="H310" s="11">
        <v>3.6073949579831899</v>
      </c>
      <c r="I310" s="7">
        <v>0.117129411764706</v>
      </c>
      <c r="J310" s="11">
        <v>1.24302521008403</v>
      </c>
      <c r="K310" s="2" t="s">
        <v>30</v>
      </c>
      <c r="L310" s="2" t="str">
        <f>_xlfn.XLOOKUP(D310,Products!A:A,Products!B:B)</f>
        <v>Face Wash</v>
      </c>
      <c r="M310" s="2" t="str">
        <f>_xlfn.XLOOKUP(D310,Products!A:A,Products!C:C)</f>
        <v>Beauty</v>
      </c>
      <c r="N310" s="2" t="str">
        <f>_xlfn.XLOOKUP(D310,Products!A:A,Products!D:D)</f>
        <v>Nivea</v>
      </c>
      <c r="O310" s="2">
        <f>_xlfn.XLOOKUP(D310,Products!A:A,Products!E:E)</f>
        <v>180</v>
      </c>
      <c r="P310" s="2">
        <f>_xlfn.XLOOKUP(D310,Products!A:A,Products!F:F)</f>
        <v>350</v>
      </c>
      <c r="Q310" s="11">
        <f t="shared" si="20"/>
        <v>1262.5882352941164</v>
      </c>
      <c r="R310" s="11">
        <f t="shared" si="21"/>
        <v>147.88621730103807</v>
      </c>
      <c r="S310" s="11">
        <f t="shared" si="22"/>
        <v>1114.7020179930782</v>
      </c>
      <c r="T310" s="11">
        <f t="shared" si="23"/>
        <v>649.33109243697413</v>
      </c>
      <c r="U310" s="11">
        <f t="shared" si="24"/>
        <v>465.37092555610411</v>
      </c>
    </row>
    <row r="311" spans="1:21" x14ac:dyDescent="0.3">
      <c r="A311" s="4" t="s">
        <v>363</v>
      </c>
      <c r="B311" s="5">
        <v>46114</v>
      </c>
      <c r="C311" s="4" t="s">
        <v>32</v>
      </c>
      <c r="D311" s="4" t="s">
        <v>37</v>
      </c>
      <c r="E311" s="4" t="s">
        <v>38</v>
      </c>
      <c r="F311" s="4" t="s">
        <v>39</v>
      </c>
      <c r="G311" s="4" t="s">
        <v>16</v>
      </c>
      <c r="H311" s="12">
        <v>3.6109483793517398</v>
      </c>
      <c r="I311" s="8">
        <v>0.11727731092437001</v>
      </c>
      <c r="J311" s="12">
        <v>1.2309723889555799</v>
      </c>
      <c r="K311" s="4" t="s">
        <v>17</v>
      </c>
      <c r="L311" s="2" t="str">
        <f>_xlfn.XLOOKUP(D311,Products!A:A,Products!B:B)</f>
        <v>Headphones</v>
      </c>
      <c r="M311" s="2" t="str">
        <f>_xlfn.XLOOKUP(D311,Products!A:A,Products!C:C)</f>
        <v>Electronics</v>
      </c>
      <c r="N311" s="2" t="str">
        <f>_xlfn.XLOOKUP(D311,Products!A:A,Products!D:D)</f>
        <v>Sony</v>
      </c>
      <c r="O311" s="2">
        <f>_xlfn.XLOOKUP(D311,Products!A:A,Products!E:E)</f>
        <v>1800</v>
      </c>
      <c r="P311" s="2">
        <f>_xlfn.XLOOKUP(D311,Products!A:A,Products!F:F)</f>
        <v>3200</v>
      </c>
      <c r="Q311" s="11">
        <f t="shared" si="20"/>
        <v>11555.034813925568</v>
      </c>
      <c r="R311" s="11">
        <f t="shared" si="21"/>
        <v>1355.1434106146687</v>
      </c>
      <c r="S311" s="11">
        <f t="shared" si="22"/>
        <v>10199.891403310899</v>
      </c>
      <c r="T311" s="11">
        <f t="shared" si="23"/>
        <v>6499.7070828331316</v>
      </c>
      <c r="U311" s="11">
        <f t="shared" si="24"/>
        <v>3700.1843204777679</v>
      </c>
    </row>
    <row r="312" spans="1:21" x14ac:dyDescent="0.3">
      <c r="A312" s="1" t="s">
        <v>364</v>
      </c>
      <c r="B312" s="9">
        <v>46115</v>
      </c>
      <c r="C312" s="1" t="s">
        <v>34</v>
      </c>
      <c r="D312" s="1" t="s">
        <v>40</v>
      </c>
      <c r="E312" s="1" t="s">
        <v>14</v>
      </c>
      <c r="F312" s="1" t="s">
        <v>41</v>
      </c>
      <c r="G312" s="1" t="s">
        <v>42</v>
      </c>
      <c r="H312" s="13">
        <v>3.6145018007202898</v>
      </c>
      <c r="I312" s="10">
        <v>0.117425210084034</v>
      </c>
      <c r="J312" s="13">
        <v>1.2189195678271301</v>
      </c>
      <c r="K312" s="10" t="s">
        <v>17</v>
      </c>
      <c r="L312" s="2" t="str">
        <f>_xlfn.XLOOKUP(D312,Products!A:A,Products!B:B)</f>
        <v>Office Chair</v>
      </c>
      <c r="M312" s="2" t="str">
        <f>_xlfn.XLOOKUP(D312,Products!A:A,Products!C:C)</f>
        <v>Furniture</v>
      </c>
      <c r="N312" s="2" t="str">
        <f>_xlfn.XLOOKUP(D312,Products!A:A,Products!D:D)</f>
        <v>Featherlite</v>
      </c>
      <c r="O312" s="2">
        <f>_xlfn.XLOOKUP(D312,Products!A:A,Products!E:E)</f>
        <v>4500</v>
      </c>
      <c r="P312" s="2">
        <f>_xlfn.XLOOKUP(D312,Products!A:A,Products!F:F)</f>
        <v>7500</v>
      </c>
      <c r="Q312" s="11">
        <f t="shared" si="20"/>
        <v>27108.763505402174</v>
      </c>
      <c r="R312" s="11">
        <f t="shared" si="21"/>
        <v>3183.2522497402442</v>
      </c>
      <c r="S312" s="11">
        <f t="shared" si="22"/>
        <v>23925.511255661928</v>
      </c>
      <c r="T312" s="11">
        <f t="shared" si="23"/>
        <v>16265.258103241304</v>
      </c>
      <c r="U312" s="11">
        <f t="shared" si="24"/>
        <v>7660.2531524206242</v>
      </c>
    </row>
    <row r="313" spans="1:21" x14ac:dyDescent="0.3">
      <c r="A313" s="1" t="s">
        <v>365</v>
      </c>
      <c r="B313" s="9">
        <v>46115</v>
      </c>
      <c r="C313" s="1" t="s">
        <v>36</v>
      </c>
      <c r="D313" s="1" t="s">
        <v>43</v>
      </c>
      <c r="E313" s="1" t="s">
        <v>44</v>
      </c>
      <c r="F313" s="1" t="s">
        <v>15</v>
      </c>
      <c r="G313" s="1" t="s">
        <v>23</v>
      </c>
      <c r="H313" s="13">
        <v>3.61805522208883</v>
      </c>
      <c r="I313" s="10">
        <v>0.117573109243697</v>
      </c>
      <c r="J313" s="13">
        <v>1.20686674669868</v>
      </c>
      <c r="K313" s="10" t="s">
        <v>17</v>
      </c>
      <c r="L313" s="2" t="str">
        <f>_xlfn.XLOOKUP(D313,Products!A:A,Products!B:B)</f>
        <v>Smartphone</v>
      </c>
      <c r="M313" s="2" t="str">
        <f>_xlfn.XLOOKUP(D313,Products!A:A,Products!C:C)</f>
        <v>Electronics</v>
      </c>
      <c r="N313" s="2" t="str">
        <f>_xlfn.XLOOKUP(D313,Products!A:A,Products!D:D)</f>
        <v>Samsung</v>
      </c>
      <c r="O313" s="2">
        <f>_xlfn.XLOOKUP(D313,Products!A:A,Products!E:E)</f>
        <v>14000</v>
      </c>
      <c r="P313" s="2">
        <f>_xlfn.XLOOKUP(D313,Products!A:A,Products!F:F)</f>
        <v>22000</v>
      </c>
      <c r="Q313" s="11">
        <f t="shared" si="20"/>
        <v>79597.214885954265</v>
      </c>
      <c r="R313" s="11">
        <f t="shared" si="21"/>
        <v>9358.4920412803258</v>
      </c>
      <c r="S313" s="11">
        <f t="shared" si="22"/>
        <v>70238.722844673932</v>
      </c>
      <c r="T313" s="11">
        <f t="shared" si="23"/>
        <v>50652.773109243622</v>
      </c>
      <c r="U313" s="11">
        <f t="shared" si="24"/>
        <v>19585.949735430309</v>
      </c>
    </row>
    <row r="314" spans="1:21" x14ac:dyDescent="0.3">
      <c r="A314" s="1" t="s">
        <v>366</v>
      </c>
      <c r="B314" s="9">
        <v>46116</v>
      </c>
      <c r="C314" s="1" t="s">
        <v>46</v>
      </c>
      <c r="D314" s="1" t="s">
        <v>47</v>
      </c>
      <c r="E314" s="1" t="s">
        <v>27</v>
      </c>
      <c r="F314" s="1" t="s">
        <v>22</v>
      </c>
      <c r="G314" s="1" t="s">
        <v>16</v>
      </c>
      <c r="H314" s="13">
        <v>3.62160864345738</v>
      </c>
      <c r="I314" s="10">
        <v>0.117721008403361</v>
      </c>
      <c r="J314" s="13">
        <v>1.1948139255702299</v>
      </c>
      <c r="K314" s="10" t="s">
        <v>48</v>
      </c>
      <c r="L314" s="2" t="str">
        <f>_xlfn.XLOOKUP(D314,Products!A:A,Products!B:B)</f>
        <v>Mixer Grinder</v>
      </c>
      <c r="M314" s="2" t="str">
        <f>_xlfn.XLOOKUP(D314,Products!A:A,Products!C:C)</f>
        <v>Home Appliances</v>
      </c>
      <c r="N314" s="2" t="str">
        <f>_xlfn.XLOOKUP(D314,Products!A:A,Products!D:D)</f>
        <v>Philips</v>
      </c>
      <c r="O314" s="2">
        <f>_xlfn.XLOOKUP(D314,Products!A:A,Products!E:E)</f>
        <v>2800</v>
      </c>
      <c r="P314" s="2">
        <f>_xlfn.XLOOKUP(D314,Products!A:A,Products!F:F)</f>
        <v>4800</v>
      </c>
      <c r="Q314" s="11">
        <f t="shared" si="20"/>
        <v>17383.721488595424</v>
      </c>
      <c r="R314" s="11">
        <f t="shared" si="21"/>
        <v>2046.4292234406291</v>
      </c>
      <c r="S314" s="11">
        <f t="shared" si="22"/>
        <v>15337.292265154794</v>
      </c>
      <c r="T314" s="11">
        <f t="shared" si="23"/>
        <v>10140.504201680664</v>
      </c>
      <c r="U314" s="11">
        <f t="shared" si="24"/>
        <v>5196.7880634741305</v>
      </c>
    </row>
    <row r="315" spans="1:21" x14ac:dyDescent="0.3">
      <c r="A315" s="2" t="s">
        <v>367</v>
      </c>
      <c r="B315" s="6">
        <v>46116</v>
      </c>
      <c r="C315" s="2" t="s">
        <v>50</v>
      </c>
      <c r="D315" s="2" t="s">
        <v>51</v>
      </c>
      <c r="E315" s="2" t="s">
        <v>21</v>
      </c>
      <c r="F315" s="2" t="s">
        <v>52</v>
      </c>
      <c r="G315" s="2" t="s">
        <v>16</v>
      </c>
      <c r="H315" s="11">
        <v>3.62516206482593</v>
      </c>
      <c r="I315" s="7">
        <v>0.117868907563025</v>
      </c>
      <c r="J315" s="11">
        <v>1.1827611044417801</v>
      </c>
      <c r="K315" s="2" t="s">
        <v>17</v>
      </c>
      <c r="L315" s="2" t="str">
        <f>_xlfn.XLOOKUP(D315,Products!A:A,Products!B:B)</f>
        <v>Shirt</v>
      </c>
      <c r="M315" s="2" t="str">
        <f>_xlfn.XLOOKUP(D315,Products!A:A,Products!C:C)</f>
        <v>Clothing</v>
      </c>
      <c r="N315" s="2" t="str">
        <f>_xlfn.XLOOKUP(D315,Products!A:A,Products!D:D)</f>
        <v>Levis</v>
      </c>
      <c r="O315" s="2">
        <f>_xlfn.XLOOKUP(D315,Products!A:A,Products!E:E)</f>
        <v>700</v>
      </c>
      <c r="P315" s="2">
        <f>_xlfn.XLOOKUP(D315,Products!A:A,Products!F:F)</f>
        <v>1500</v>
      </c>
      <c r="Q315" s="11">
        <f t="shared" si="20"/>
        <v>5437.7430972388947</v>
      </c>
      <c r="R315" s="11">
        <f t="shared" si="21"/>
        <v>640.94083847992852</v>
      </c>
      <c r="S315" s="11">
        <f t="shared" si="22"/>
        <v>4796.8022587589658</v>
      </c>
      <c r="T315" s="11">
        <f t="shared" si="23"/>
        <v>2537.613445378151</v>
      </c>
      <c r="U315" s="11">
        <f t="shared" si="24"/>
        <v>2259.1888133808147</v>
      </c>
    </row>
    <row r="316" spans="1:21" x14ac:dyDescent="0.3">
      <c r="A316" s="2" t="s">
        <v>368</v>
      </c>
      <c r="B316" s="6">
        <v>46117</v>
      </c>
      <c r="C316" s="2" t="s">
        <v>54</v>
      </c>
      <c r="D316" s="2" t="s">
        <v>55</v>
      </c>
      <c r="E316" s="2" t="s">
        <v>38</v>
      </c>
      <c r="F316" s="2" t="s">
        <v>15</v>
      </c>
      <c r="G316" s="2" t="s">
        <v>29</v>
      </c>
      <c r="H316" s="11">
        <v>3.6287154861944799</v>
      </c>
      <c r="I316" s="7">
        <v>0.11801680672268899</v>
      </c>
      <c r="J316" s="11">
        <v>1.17070828331332</v>
      </c>
      <c r="K316" s="2" t="s">
        <v>30</v>
      </c>
      <c r="L316" s="2" t="str">
        <f>_xlfn.XLOOKUP(D316,Products!A:A,Products!B:B)</f>
        <v>Sports Shoes</v>
      </c>
      <c r="M316" s="2" t="str">
        <f>_xlfn.XLOOKUP(D316,Products!A:A,Products!C:C)</f>
        <v>Sports</v>
      </c>
      <c r="N316" s="2" t="str">
        <f>_xlfn.XLOOKUP(D316,Products!A:A,Products!D:D)</f>
        <v>Nike</v>
      </c>
      <c r="O316" s="2">
        <f>_xlfn.XLOOKUP(D316,Products!A:A,Products!E:E)</f>
        <v>2200</v>
      </c>
      <c r="P316" s="2">
        <f>_xlfn.XLOOKUP(D316,Products!A:A,Products!F:F)</f>
        <v>4500</v>
      </c>
      <c r="Q316" s="11">
        <f t="shared" si="20"/>
        <v>16329.21968787516</v>
      </c>
      <c r="R316" s="11">
        <f t="shared" si="21"/>
        <v>1927.1223638362908</v>
      </c>
      <c r="S316" s="11">
        <f t="shared" si="22"/>
        <v>14402.09732403887</v>
      </c>
      <c r="T316" s="11">
        <f t="shared" si="23"/>
        <v>7983.1740696278557</v>
      </c>
      <c r="U316" s="11">
        <f t="shared" si="24"/>
        <v>6418.9232544110146</v>
      </c>
    </row>
    <row r="317" spans="1:21" x14ac:dyDescent="0.3">
      <c r="A317" s="2" t="s">
        <v>369</v>
      </c>
      <c r="B317" s="6">
        <v>46117</v>
      </c>
      <c r="C317" s="2" t="s">
        <v>57</v>
      </c>
      <c r="D317" s="2" t="s">
        <v>58</v>
      </c>
      <c r="E317" s="2" t="s">
        <v>44</v>
      </c>
      <c r="F317" s="2" t="s">
        <v>41</v>
      </c>
      <c r="G317" s="2" t="s">
        <v>23</v>
      </c>
      <c r="H317" s="11">
        <v>3.6322689075630201</v>
      </c>
      <c r="I317" s="7">
        <v>0.118164705882353</v>
      </c>
      <c r="J317" s="11">
        <v>1.1586554621848699</v>
      </c>
      <c r="K317" s="2" t="s">
        <v>17</v>
      </c>
      <c r="L317" s="2" t="str">
        <f>_xlfn.XLOOKUP(D317,Products!A:A,Products!B:B)</f>
        <v>Study Table</v>
      </c>
      <c r="M317" s="2" t="str">
        <f>_xlfn.XLOOKUP(D317,Products!A:A,Products!C:C)</f>
        <v>Furniture</v>
      </c>
      <c r="N317" s="2" t="str">
        <f>_xlfn.XLOOKUP(D317,Products!A:A,Products!D:D)</f>
        <v>Ikea</v>
      </c>
      <c r="O317" s="2">
        <f>_xlfn.XLOOKUP(D317,Products!A:A,Products!E:E)</f>
        <v>5000</v>
      </c>
      <c r="P317" s="2">
        <f>_xlfn.XLOOKUP(D317,Products!A:A,Products!F:F)</f>
        <v>8500</v>
      </c>
      <c r="Q317" s="11">
        <f t="shared" si="20"/>
        <v>30874.28571428567</v>
      </c>
      <c r="R317" s="11">
        <f t="shared" si="21"/>
        <v>3648.2508907562992</v>
      </c>
      <c r="S317" s="11">
        <f t="shared" si="22"/>
        <v>27226.034823529371</v>
      </c>
      <c r="T317" s="11">
        <f t="shared" si="23"/>
        <v>18161.344537815101</v>
      </c>
      <c r="U317" s="11">
        <f t="shared" si="24"/>
        <v>9064.6902857142704</v>
      </c>
    </row>
    <row r="318" spans="1:21" x14ac:dyDescent="0.3">
      <c r="A318" s="2" t="s">
        <v>370</v>
      </c>
      <c r="B318" s="6">
        <v>46118</v>
      </c>
      <c r="C318" s="2" t="s">
        <v>60</v>
      </c>
      <c r="D318" s="2" t="s">
        <v>13</v>
      </c>
      <c r="E318" s="2" t="s">
        <v>14</v>
      </c>
      <c r="F318" s="2" t="s">
        <v>22</v>
      </c>
      <c r="G318" s="2" t="s">
        <v>16</v>
      </c>
      <c r="H318" s="11">
        <v>3.6358223289315701</v>
      </c>
      <c r="I318" s="7">
        <v>0.118312605042017</v>
      </c>
      <c r="J318" s="11">
        <v>1.1466026410564201</v>
      </c>
      <c r="K318" s="2" t="s">
        <v>17</v>
      </c>
      <c r="L318" s="2" t="str">
        <f>_xlfn.XLOOKUP(D318,Products!A:A,Products!B:B)</f>
        <v>Laptop</v>
      </c>
      <c r="M318" s="2" t="str">
        <f>_xlfn.XLOOKUP(D318,Products!A:A,Products!C:C)</f>
        <v>Electronics</v>
      </c>
      <c r="N318" s="2" t="str">
        <f>_xlfn.XLOOKUP(D318,Products!A:A,Products!D:D)</f>
        <v>HP</v>
      </c>
      <c r="O318" s="2">
        <f>_xlfn.XLOOKUP(D318,Products!A:A,Products!E:E)</f>
        <v>42000</v>
      </c>
      <c r="P318" s="2">
        <f>_xlfn.XLOOKUP(D318,Products!A:A,Products!F:F)</f>
        <v>55000</v>
      </c>
      <c r="Q318" s="11">
        <f t="shared" si="20"/>
        <v>199970.22809123635</v>
      </c>
      <c r="R318" s="11">
        <f t="shared" si="21"/>
        <v>23658.998616320499</v>
      </c>
      <c r="S318" s="11">
        <f t="shared" si="22"/>
        <v>176311.22947491586</v>
      </c>
      <c r="T318" s="11">
        <f t="shared" si="23"/>
        <v>152704.53781512595</v>
      </c>
      <c r="U318" s="11">
        <f t="shared" si="24"/>
        <v>23606.691659789911</v>
      </c>
    </row>
    <row r="319" spans="1:21" x14ac:dyDescent="0.3">
      <c r="A319" s="2" t="s">
        <v>371</v>
      </c>
      <c r="B319" s="6">
        <v>46118</v>
      </c>
      <c r="C319" s="2" t="s">
        <v>62</v>
      </c>
      <c r="D319" s="2" t="s">
        <v>26</v>
      </c>
      <c r="E319" s="2" t="s">
        <v>27</v>
      </c>
      <c r="F319" s="2" t="s">
        <v>15</v>
      </c>
      <c r="G319" s="2" t="s">
        <v>42</v>
      </c>
      <c r="H319" s="11">
        <v>3.6393757503001201</v>
      </c>
      <c r="I319" s="7">
        <v>0.118460504201681</v>
      </c>
      <c r="J319" s="11">
        <v>1.13454981992797</v>
      </c>
      <c r="K319" s="2" t="s">
        <v>17</v>
      </c>
      <c r="L319" s="2" t="str">
        <f>_xlfn.XLOOKUP(D319,Products!A:A,Products!B:B)</f>
        <v>Face Wash</v>
      </c>
      <c r="M319" s="2" t="str">
        <f>_xlfn.XLOOKUP(D319,Products!A:A,Products!C:C)</f>
        <v>Beauty</v>
      </c>
      <c r="N319" s="2" t="str">
        <f>_xlfn.XLOOKUP(D319,Products!A:A,Products!D:D)</f>
        <v>Nivea</v>
      </c>
      <c r="O319" s="2">
        <f>_xlfn.XLOOKUP(D319,Products!A:A,Products!E:E)</f>
        <v>180</v>
      </c>
      <c r="P319" s="2">
        <f>_xlfn.XLOOKUP(D319,Products!A:A,Products!F:F)</f>
        <v>350</v>
      </c>
      <c r="Q319" s="11">
        <f t="shared" si="20"/>
        <v>1273.7815126050421</v>
      </c>
      <c r="R319" s="11">
        <f t="shared" si="21"/>
        <v>150.89280022597316</v>
      </c>
      <c r="S319" s="11">
        <f t="shared" si="22"/>
        <v>1122.8887123790689</v>
      </c>
      <c r="T319" s="11">
        <f t="shared" si="23"/>
        <v>655.08763505402158</v>
      </c>
      <c r="U319" s="11">
        <f t="shared" si="24"/>
        <v>467.80107732504734</v>
      </c>
    </row>
    <row r="320" spans="1:21" x14ac:dyDescent="0.3">
      <c r="A320" s="2" t="s">
        <v>372</v>
      </c>
      <c r="B320" s="6">
        <v>46119</v>
      </c>
      <c r="C320" s="2" t="s">
        <v>64</v>
      </c>
      <c r="D320" s="2" t="s">
        <v>20</v>
      </c>
      <c r="E320" s="2" t="s">
        <v>21</v>
      </c>
      <c r="F320" s="2" t="s">
        <v>39</v>
      </c>
      <c r="G320" s="2" t="s">
        <v>23</v>
      </c>
      <c r="H320" s="11">
        <v>3.6429291716686598</v>
      </c>
      <c r="I320" s="7">
        <v>0.118608403361345</v>
      </c>
      <c r="J320" s="11">
        <v>1.1224969987995199</v>
      </c>
      <c r="K320" s="2" t="s">
        <v>17</v>
      </c>
      <c r="L320" s="2" t="str">
        <f>_xlfn.XLOOKUP(D320,Products!A:A,Products!B:B)</f>
        <v>Jeans</v>
      </c>
      <c r="M320" s="2" t="str">
        <f>_xlfn.XLOOKUP(D320,Products!A:A,Products!C:C)</f>
        <v>Clothing</v>
      </c>
      <c r="N320" s="2" t="str">
        <f>_xlfn.XLOOKUP(D320,Products!A:A,Products!D:D)</f>
        <v>Wrangler</v>
      </c>
      <c r="O320" s="2">
        <f>_xlfn.XLOOKUP(D320,Products!A:A,Products!E:E)</f>
        <v>1100</v>
      </c>
      <c r="P320" s="2">
        <f>_xlfn.XLOOKUP(D320,Products!A:A,Products!F:F)</f>
        <v>2200</v>
      </c>
      <c r="Q320" s="11">
        <f t="shared" si="20"/>
        <v>8014.4441776710519</v>
      </c>
      <c r="R320" s="11">
        <f t="shared" si="21"/>
        <v>950.58042774219098</v>
      </c>
      <c r="S320" s="11">
        <f t="shared" si="22"/>
        <v>7063.8637499288607</v>
      </c>
      <c r="T320" s="11">
        <f t="shared" si="23"/>
        <v>4007.2220888355259</v>
      </c>
      <c r="U320" s="11">
        <f t="shared" si="24"/>
        <v>3056.6416610933347</v>
      </c>
    </row>
    <row r="321" spans="1:21" x14ac:dyDescent="0.3">
      <c r="A321" s="2" t="s">
        <v>373</v>
      </c>
      <c r="B321" s="6">
        <v>46119</v>
      </c>
      <c r="C321" s="2" t="s">
        <v>66</v>
      </c>
      <c r="D321" s="2" t="s">
        <v>37</v>
      </c>
      <c r="E321" s="2" t="s">
        <v>38</v>
      </c>
      <c r="F321" s="2" t="s">
        <v>15</v>
      </c>
      <c r="G321" s="2" t="s">
        <v>16</v>
      </c>
      <c r="H321" s="11">
        <v>3.6464825930372098</v>
      </c>
      <c r="I321" s="7">
        <v>0.11875630252100799</v>
      </c>
      <c r="J321" s="11">
        <v>1.1104441776710701</v>
      </c>
      <c r="K321" s="2" t="s">
        <v>17</v>
      </c>
      <c r="L321" s="2" t="str">
        <f>_xlfn.XLOOKUP(D321,Products!A:A,Products!B:B)</f>
        <v>Headphones</v>
      </c>
      <c r="M321" s="2" t="str">
        <f>_xlfn.XLOOKUP(D321,Products!A:A,Products!C:C)</f>
        <v>Electronics</v>
      </c>
      <c r="N321" s="2" t="str">
        <f>_xlfn.XLOOKUP(D321,Products!A:A,Products!D:D)</f>
        <v>Sony</v>
      </c>
      <c r="O321" s="2">
        <f>_xlfn.XLOOKUP(D321,Products!A:A,Products!E:E)</f>
        <v>1800</v>
      </c>
      <c r="P321" s="2">
        <f>_xlfn.XLOOKUP(D321,Products!A:A,Products!F:F)</f>
        <v>3200</v>
      </c>
      <c r="Q321" s="11">
        <f t="shared" si="20"/>
        <v>11668.744297719071</v>
      </c>
      <c r="R321" s="11">
        <f t="shared" si="21"/>
        <v>1385.736927860213</v>
      </c>
      <c r="S321" s="11">
        <f t="shared" si="22"/>
        <v>10283.007369858859</v>
      </c>
      <c r="T321" s="11">
        <f t="shared" si="23"/>
        <v>6563.6686674669772</v>
      </c>
      <c r="U321" s="11">
        <f t="shared" si="24"/>
        <v>3719.3387023918813</v>
      </c>
    </row>
    <row r="322" spans="1:21" x14ac:dyDescent="0.3">
      <c r="A322" s="2" t="s">
        <v>374</v>
      </c>
      <c r="B322" s="6">
        <v>46113</v>
      </c>
      <c r="C322" s="2" t="s">
        <v>12</v>
      </c>
      <c r="D322" s="2" t="s">
        <v>13</v>
      </c>
      <c r="E322" s="2" t="s">
        <v>14</v>
      </c>
      <c r="F322" s="2" t="s">
        <v>15</v>
      </c>
      <c r="G322" s="2" t="s">
        <v>16</v>
      </c>
      <c r="H322" s="11">
        <v>3.6500360144057602</v>
      </c>
      <c r="I322" s="7">
        <v>0.11890420168067201</v>
      </c>
      <c r="J322" s="11">
        <v>1.09839135654262</v>
      </c>
      <c r="K322" s="2" t="s">
        <v>17</v>
      </c>
      <c r="L322" s="2" t="str">
        <f>_xlfn.XLOOKUP(D322,Products!A:A,Products!B:B)</f>
        <v>Laptop</v>
      </c>
      <c r="M322" s="2" t="str">
        <f>_xlfn.XLOOKUP(D322,Products!A:A,Products!C:C)</f>
        <v>Electronics</v>
      </c>
      <c r="N322" s="2" t="str">
        <f>_xlfn.XLOOKUP(D322,Products!A:A,Products!D:D)</f>
        <v>HP</v>
      </c>
      <c r="O322" s="2">
        <f>_xlfn.XLOOKUP(D322,Products!A:A,Products!E:E)</f>
        <v>42000</v>
      </c>
      <c r="P322" s="2">
        <f>_xlfn.XLOOKUP(D322,Products!A:A,Products!F:F)</f>
        <v>55000</v>
      </c>
      <c r="Q322" s="11">
        <f t="shared" si="20"/>
        <v>200751.98079231681</v>
      </c>
      <c r="R322" s="11">
        <f t="shared" si="21"/>
        <v>23870.254011924029</v>
      </c>
      <c r="S322" s="11">
        <f t="shared" si="22"/>
        <v>176881.72678039278</v>
      </c>
      <c r="T322" s="11">
        <f t="shared" si="23"/>
        <v>153301.51260504193</v>
      </c>
      <c r="U322" s="11">
        <f t="shared" si="24"/>
        <v>23580.214175350848</v>
      </c>
    </row>
    <row r="323" spans="1:21" x14ac:dyDescent="0.3">
      <c r="A323" s="2" t="s">
        <v>375</v>
      </c>
      <c r="B323" s="6">
        <v>46113</v>
      </c>
      <c r="C323" s="2" t="s">
        <v>19</v>
      </c>
      <c r="D323" s="2" t="s">
        <v>20</v>
      </c>
      <c r="E323" s="2" t="s">
        <v>21</v>
      </c>
      <c r="F323" s="2" t="s">
        <v>22</v>
      </c>
      <c r="G323" s="2" t="s">
        <v>23</v>
      </c>
      <c r="H323" s="11">
        <v>3.6535894357743102</v>
      </c>
      <c r="I323" s="7">
        <v>0.119052100840336</v>
      </c>
      <c r="J323" s="11">
        <v>1.0863385354141699</v>
      </c>
      <c r="K323" s="2" t="s">
        <v>17</v>
      </c>
      <c r="L323" s="2" t="str">
        <f>_xlfn.XLOOKUP(D323,Products!A:A,Products!B:B)</f>
        <v>Jeans</v>
      </c>
      <c r="M323" s="2" t="str">
        <f>_xlfn.XLOOKUP(D323,Products!A:A,Products!C:C)</f>
        <v>Clothing</v>
      </c>
      <c r="N323" s="2" t="str">
        <f>_xlfn.XLOOKUP(D323,Products!A:A,Products!D:D)</f>
        <v>Wrangler</v>
      </c>
      <c r="O323" s="2">
        <f>_xlfn.XLOOKUP(D323,Products!A:A,Products!E:E)</f>
        <v>1100</v>
      </c>
      <c r="P323" s="2">
        <f>_xlfn.XLOOKUP(D323,Products!A:A,Products!F:F)</f>
        <v>2200</v>
      </c>
      <c r="Q323" s="11">
        <f t="shared" ref="Q323:Q386" si="25">H323*P323</f>
        <v>8037.8967587034822</v>
      </c>
      <c r="R323" s="11">
        <f t="shared" ref="R323:R386" si="26">Q323*I323</f>
        <v>956.92849546137688</v>
      </c>
      <c r="S323" s="11">
        <f t="shared" ref="S323:S386" si="27">Q323-R323</f>
        <v>7080.9682632421054</v>
      </c>
      <c r="T323" s="11">
        <f t="shared" ref="T323:T386" si="28">H323*O323</f>
        <v>4018.9483793517411</v>
      </c>
      <c r="U323" s="11">
        <f t="shared" ref="U323:U386" si="29">S323-T323</f>
        <v>3062.0198838903643</v>
      </c>
    </row>
    <row r="324" spans="1:21" x14ac:dyDescent="0.3">
      <c r="A324" s="2" t="s">
        <v>376</v>
      </c>
      <c r="B324" s="6">
        <v>46114</v>
      </c>
      <c r="C324" s="2" t="s">
        <v>25</v>
      </c>
      <c r="D324" s="2" t="s">
        <v>26</v>
      </c>
      <c r="E324" s="2" t="s">
        <v>27</v>
      </c>
      <c r="F324" s="2" t="s">
        <v>28</v>
      </c>
      <c r="G324" s="2" t="s">
        <v>29</v>
      </c>
      <c r="H324" s="11">
        <v>3.6571428571428499</v>
      </c>
      <c r="I324" s="7">
        <v>0.1192</v>
      </c>
      <c r="J324" s="11">
        <v>1.0742857142857101</v>
      </c>
      <c r="K324" s="2" t="s">
        <v>30</v>
      </c>
      <c r="L324" s="2" t="str">
        <f>_xlfn.XLOOKUP(D324,Products!A:A,Products!B:B)</f>
        <v>Face Wash</v>
      </c>
      <c r="M324" s="2" t="str">
        <f>_xlfn.XLOOKUP(D324,Products!A:A,Products!C:C)</f>
        <v>Beauty</v>
      </c>
      <c r="N324" s="2" t="str">
        <f>_xlfn.XLOOKUP(D324,Products!A:A,Products!D:D)</f>
        <v>Nivea</v>
      </c>
      <c r="O324" s="2">
        <f>_xlfn.XLOOKUP(D324,Products!A:A,Products!E:E)</f>
        <v>180</v>
      </c>
      <c r="P324" s="2">
        <f>_xlfn.XLOOKUP(D324,Products!A:A,Products!F:F)</f>
        <v>350</v>
      </c>
      <c r="Q324" s="11">
        <f t="shared" si="25"/>
        <v>1279.9999999999975</v>
      </c>
      <c r="R324" s="11">
        <f t="shared" si="26"/>
        <v>152.57599999999971</v>
      </c>
      <c r="S324" s="11">
        <f t="shared" si="27"/>
        <v>1127.4239999999977</v>
      </c>
      <c r="T324" s="11">
        <f t="shared" si="28"/>
        <v>658.28571428571297</v>
      </c>
      <c r="U324" s="11">
        <f t="shared" si="29"/>
        <v>469.13828571428473</v>
      </c>
    </row>
    <row r="325" spans="1:21" x14ac:dyDescent="0.3">
      <c r="A325" s="4" t="s">
        <v>377</v>
      </c>
      <c r="B325" s="5">
        <v>46114</v>
      </c>
      <c r="C325" s="4" t="s">
        <v>32</v>
      </c>
      <c r="D325" s="4" t="s">
        <v>37</v>
      </c>
      <c r="E325" s="4" t="s">
        <v>38</v>
      </c>
      <c r="F325" s="4" t="s">
        <v>39</v>
      </c>
      <c r="G325" s="4" t="s">
        <v>16</v>
      </c>
      <c r="H325" s="12">
        <v>3.6606962785113999</v>
      </c>
      <c r="I325" s="8">
        <v>0.119347899159664</v>
      </c>
      <c r="J325" s="12">
        <v>1.06223289315726</v>
      </c>
      <c r="K325" s="4" t="s">
        <v>17</v>
      </c>
      <c r="L325" s="2" t="str">
        <f>_xlfn.XLOOKUP(D325,Products!A:A,Products!B:B)</f>
        <v>Headphones</v>
      </c>
      <c r="M325" s="2" t="str">
        <f>_xlfn.XLOOKUP(D325,Products!A:A,Products!C:C)</f>
        <v>Electronics</v>
      </c>
      <c r="N325" s="2" t="str">
        <f>_xlfn.XLOOKUP(D325,Products!A:A,Products!D:D)</f>
        <v>Sony</v>
      </c>
      <c r="O325" s="2">
        <f>_xlfn.XLOOKUP(D325,Products!A:A,Products!E:E)</f>
        <v>1800</v>
      </c>
      <c r="P325" s="2">
        <f>_xlfn.XLOOKUP(D325,Products!A:A,Products!F:F)</f>
        <v>3200</v>
      </c>
      <c r="Q325" s="11">
        <f t="shared" si="25"/>
        <v>11714.22809123648</v>
      </c>
      <c r="R325" s="11">
        <f t="shared" si="26"/>
        <v>1398.0685129661947</v>
      </c>
      <c r="S325" s="11">
        <f t="shared" si="27"/>
        <v>10316.159578270286</v>
      </c>
      <c r="T325" s="11">
        <f t="shared" si="28"/>
        <v>6589.2533013205202</v>
      </c>
      <c r="U325" s="11">
        <f t="shared" si="29"/>
        <v>3726.9062769497659</v>
      </c>
    </row>
    <row r="326" spans="1:21" x14ac:dyDescent="0.3">
      <c r="A326" s="1" t="s">
        <v>378</v>
      </c>
      <c r="B326" s="9">
        <v>46115</v>
      </c>
      <c r="C326" s="1" t="s">
        <v>34</v>
      </c>
      <c r="D326" s="1" t="s">
        <v>40</v>
      </c>
      <c r="E326" s="1" t="s">
        <v>14</v>
      </c>
      <c r="F326" s="1" t="s">
        <v>41</v>
      </c>
      <c r="G326" s="1" t="s">
        <v>42</v>
      </c>
      <c r="H326" s="13">
        <v>3.6642496998799499</v>
      </c>
      <c r="I326" s="10">
        <v>0.11949579831932799</v>
      </c>
      <c r="J326" s="13">
        <v>1.0501800720288099</v>
      </c>
      <c r="K326" s="10" t="s">
        <v>17</v>
      </c>
      <c r="L326" s="2" t="str">
        <f>_xlfn.XLOOKUP(D326,Products!A:A,Products!B:B)</f>
        <v>Office Chair</v>
      </c>
      <c r="M326" s="2" t="str">
        <f>_xlfn.XLOOKUP(D326,Products!A:A,Products!C:C)</f>
        <v>Furniture</v>
      </c>
      <c r="N326" s="2" t="str">
        <f>_xlfn.XLOOKUP(D326,Products!A:A,Products!D:D)</f>
        <v>Featherlite</v>
      </c>
      <c r="O326" s="2">
        <f>_xlfn.XLOOKUP(D326,Products!A:A,Products!E:E)</f>
        <v>4500</v>
      </c>
      <c r="P326" s="2">
        <f>_xlfn.XLOOKUP(D326,Products!A:A,Products!F:F)</f>
        <v>7500</v>
      </c>
      <c r="Q326" s="11">
        <f t="shared" si="25"/>
        <v>27481.872749099624</v>
      </c>
      <c r="R326" s="11">
        <f t="shared" si="26"/>
        <v>3283.9683234638446</v>
      </c>
      <c r="S326" s="11">
        <f t="shared" si="27"/>
        <v>24197.904425635781</v>
      </c>
      <c r="T326" s="11">
        <f t="shared" si="28"/>
        <v>16489.123649459776</v>
      </c>
      <c r="U326" s="11">
        <f t="shared" si="29"/>
        <v>7708.780776176005</v>
      </c>
    </row>
    <row r="327" spans="1:21" x14ac:dyDescent="0.3">
      <c r="A327" s="1" t="s">
        <v>379</v>
      </c>
      <c r="B327" s="9">
        <v>46115</v>
      </c>
      <c r="C327" s="1" t="s">
        <v>36</v>
      </c>
      <c r="D327" s="1" t="s">
        <v>43</v>
      </c>
      <c r="E327" s="1" t="s">
        <v>44</v>
      </c>
      <c r="F327" s="1" t="s">
        <v>15</v>
      </c>
      <c r="G327" s="1" t="s">
        <v>23</v>
      </c>
      <c r="H327" s="13">
        <v>3.6678031212484998</v>
      </c>
      <c r="I327" s="10">
        <v>0.11964369747899201</v>
      </c>
      <c r="J327" s="13">
        <v>1.0381272509003601</v>
      </c>
      <c r="K327" s="10" t="s">
        <v>17</v>
      </c>
      <c r="L327" s="2" t="str">
        <f>_xlfn.XLOOKUP(D327,Products!A:A,Products!B:B)</f>
        <v>Smartphone</v>
      </c>
      <c r="M327" s="2" t="str">
        <f>_xlfn.XLOOKUP(D327,Products!A:A,Products!C:C)</f>
        <v>Electronics</v>
      </c>
      <c r="N327" s="2" t="str">
        <f>_xlfn.XLOOKUP(D327,Products!A:A,Products!D:D)</f>
        <v>Samsung</v>
      </c>
      <c r="O327" s="2">
        <f>_xlfn.XLOOKUP(D327,Products!A:A,Products!E:E)</f>
        <v>14000</v>
      </c>
      <c r="P327" s="2">
        <f>_xlfn.XLOOKUP(D327,Products!A:A,Products!F:F)</f>
        <v>22000</v>
      </c>
      <c r="Q327" s="11">
        <f t="shared" si="25"/>
        <v>80691.668667466991</v>
      </c>
      <c r="R327" s="11">
        <f t="shared" si="26"/>
        <v>9654.2495951254787</v>
      </c>
      <c r="S327" s="11">
        <f t="shared" si="27"/>
        <v>71037.419072341509</v>
      </c>
      <c r="T327" s="11">
        <f t="shared" si="28"/>
        <v>51349.243697478996</v>
      </c>
      <c r="U327" s="11">
        <f t="shared" si="29"/>
        <v>19688.175374862512</v>
      </c>
    </row>
    <row r="328" spans="1:21" x14ac:dyDescent="0.3">
      <c r="A328" s="1" t="s">
        <v>380</v>
      </c>
      <c r="B328" s="9">
        <v>46116</v>
      </c>
      <c r="C328" s="1" t="s">
        <v>46</v>
      </c>
      <c r="D328" s="1" t="s">
        <v>47</v>
      </c>
      <c r="E328" s="1" t="s">
        <v>27</v>
      </c>
      <c r="F328" s="1" t="s">
        <v>22</v>
      </c>
      <c r="G328" s="1" t="s">
        <v>16</v>
      </c>
      <c r="H328" s="13">
        <v>3.67135654261704</v>
      </c>
      <c r="I328" s="10">
        <v>0.119791596638655</v>
      </c>
      <c r="J328" s="13">
        <v>1.02607442977191</v>
      </c>
      <c r="K328" s="10" t="s">
        <v>48</v>
      </c>
      <c r="L328" s="2" t="str">
        <f>_xlfn.XLOOKUP(D328,Products!A:A,Products!B:B)</f>
        <v>Mixer Grinder</v>
      </c>
      <c r="M328" s="2" t="str">
        <f>_xlfn.XLOOKUP(D328,Products!A:A,Products!C:C)</f>
        <v>Home Appliances</v>
      </c>
      <c r="N328" s="2" t="str">
        <f>_xlfn.XLOOKUP(D328,Products!A:A,Products!D:D)</f>
        <v>Philips</v>
      </c>
      <c r="O328" s="2">
        <f>_xlfn.XLOOKUP(D328,Products!A:A,Products!E:E)</f>
        <v>2800</v>
      </c>
      <c r="P328" s="2">
        <f>_xlfn.XLOOKUP(D328,Products!A:A,Products!F:F)</f>
        <v>4800</v>
      </c>
      <c r="Q328" s="11">
        <f t="shared" si="25"/>
        <v>17622.511404561792</v>
      </c>
      <c r="R328" s="11">
        <f t="shared" si="26"/>
        <v>2111.0287779353639</v>
      </c>
      <c r="S328" s="11">
        <f t="shared" si="27"/>
        <v>15511.482626626428</v>
      </c>
      <c r="T328" s="11">
        <f t="shared" si="28"/>
        <v>10279.798319327712</v>
      </c>
      <c r="U328" s="11">
        <f t="shared" si="29"/>
        <v>5231.6843072987158</v>
      </c>
    </row>
    <row r="329" spans="1:21" x14ac:dyDescent="0.3">
      <c r="A329" s="2" t="s">
        <v>381</v>
      </c>
      <c r="B329" s="6">
        <v>46116</v>
      </c>
      <c r="C329" s="2" t="s">
        <v>50</v>
      </c>
      <c r="D329" s="2" t="s">
        <v>51</v>
      </c>
      <c r="E329" s="2" t="s">
        <v>21</v>
      </c>
      <c r="F329" s="2" t="s">
        <v>52</v>
      </c>
      <c r="G329" s="2" t="s">
        <v>16</v>
      </c>
      <c r="H329" s="11">
        <v>3.67490996398559</v>
      </c>
      <c r="I329" s="7">
        <v>0.119939495798319</v>
      </c>
      <c r="J329" s="11">
        <v>1.0140216086434599</v>
      </c>
      <c r="K329" s="2" t="s">
        <v>17</v>
      </c>
      <c r="L329" s="2" t="str">
        <f>_xlfn.XLOOKUP(D329,Products!A:A,Products!B:B)</f>
        <v>Shirt</v>
      </c>
      <c r="M329" s="2" t="str">
        <f>_xlfn.XLOOKUP(D329,Products!A:A,Products!C:C)</f>
        <v>Clothing</v>
      </c>
      <c r="N329" s="2" t="str">
        <f>_xlfn.XLOOKUP(D329,Products!A:A,Products!D:D)</f>
        <v>Levis</v>
      </c>
      <c r="O329" s="2">
        <f>_xlfn.XLOOKUP(D329,Products!A:A,Products!E:E)</f>
        <v>700</v>
      </c>
      <c r="P329" s="2">
        <f>_xlfn.XLOOKUP(D329,Products!A:A,Products!F:F)</f>
        <v>1500</v>
      </c>
      <c r="Q329" s="11">
        <f t="shared" si="25"/>
        <v>5512.3649459783846</v>
      </c>
      <c r="R329" s="11">
        <f t="shared" si="26"/>
        <v>661.15027227697544</v>
      </c>
      <c r="S329" s="11">
        <f t="shared" si="27"/>
        <v>4851.2146737014091</v>
      </c>
      <c r="T329" s="11">
        <f t="shared" si="28"/>
        <v>2572.4369747899132</v>
      </c>
      <c r="U329" s="11">
        <f t="shared" si="29"/>
        <v>2278.7776989114959</v>
      </c>
    </row>
    <row r="330" spans="1:21" x14ac:dyDescent="0.3">
      <c r="A330" s="2" t="s">
        <v>382</v>
      </c>
      <c r="B330" s="6">
        <v>46117</v>
      </c>
      <c r="C330" s="2" t="s">
        <v>54</v>
      </c>
      <c r="D330" s="2" t="s">
        <v>55</v>
      </c>
      <c r="E330" s="2" t="s">
        <v>38</v>
      </c>
      <c r="F330" s="2" t="s">
        <v>15</v>
      </c>
      <c r="G330" s="2" t="s">
        <v>29</v>
      </c>
      <c r="H330" s="11">
        <v>3.67846338535414</v>
      </c>
      <c r="I330" s="7">
        <v>0.120087394957983</v>
      </c>
      <c r="J330" s="11">
        <v>1.0019687875150001</v>
      </c>
      <c r="K330" s="2" t="s">
        <v>30</v>
      </c>
      <c r="L330" s="2" t="str">
        <f>_xlfn.XLOOKUP(D330,Products!A:A,Products!B:B)</f>
        <v>Sports Shoes</v>
      </c>
      <c r="M330" s="2" t="str">
        <f>_xlfn.XLOOKUP(D330,Products!A:A,Products!C:C)</f>
        <v>Sports</v>
      </c>
      <c r="N330" s="2" t="str">
        <f>_xlfn.XLOOKUP(D330,Products!A:A,Products!D:D)</f>
        <v>Nike</v>
      </c>
      <c r="O330" s="2">
        <f>_xlfn.XLOOKUP(D330,Products!A:A,Products!E:E)</f>
        <v>2200</v>
      </c>
      <c r="P330" s="2">
        <f>_xlfn.XLOOKUP(D330,Products!A:A,Products!F:F)</f>
        <v>4500</v>
      </c>
      <c r="Q330" s="11">
        <f t="shared" si="25"/>
        <v>16553.085234093629</v>
      </c>
      <c r="R330" s="11">
        <f t="shared" si="26"/>
        <v>1987.8168842797581</v>
      </c>
      <c r="S330" s="11">
        <f t="shared" si="27"/>
        <v>14565.26834981387</v>
      </c>
      <c r="T330" s="11">
        <f t="shared" si="28"/>
        <v>8092.6194477791078</v>
      </c>
      <c r="U330" s="11">
        <f t="shared" si="29"/>
        <v>6472.6489020347626</v>
      </c>
    </row>
    <row r="331" spans="1:21" x14ac:dyDescent="0.3">
      <c r="A331" s="2" t="s">
        <v>383</v>
      </c>
      <c r="B331" s="6">
        <v>46117</v>
      </c>
      <c r="C331" s="2" t="s">
        <v>57</v>
      </c>
      <c r="D331" s="2" t="s">
        <v>58</v>
      </c>
      <c r="E331" s="2" t="s">
        <v>44</v>
      </c>
      <c r="F331" s="2" t="s">
        <v>41</v>
      </c>
      <c r="G331" s="2" t="s">
        <v>23</v>
      </c>
      <c r="H331" s="11">
        <v>3.6820168067226899</v>
      </c>
      <c r="I331" s="7">
        <v>0.120235294117647</v>
      </c>
      <c r="J331" s="11">
        <v>0.989915966386549</v>
      </c>
      <c r="K331" s="2" t="s">
        <v>17</v>
      </c>
      <c r="L331" s="2" t="str">
        <f>_xlfn.XLOOKUP(D331,Products!A:A,Products!B:B)</f>
        <v>Study Table</v>
      </c>
      <c r="M331" s="2" t="str">
        <f>_xlfn.XLOOKUP(D331,Products!A:A,Products!C:C)</f>
        <v>Furniture</v>
      </c>
      <c r="N331" s="2" t="str">
        <f>_xlfn.XLOOKUP(D331,Products!A:A,Products!D:D)</f>
        <v>Ikea</v>
      </c>
      <c r="O331" s="2">
        <f>_xlfn.XLOOKUP(D331,Products!A:A,Products!E:E)</f>
        <v>5000</v>
      </c>
      <c r="P331" s="2">
        <f>_xlfn.XLOOKUP(D331,Products!A:A,Products!F:F)</f>
        <v>8500</v>
      </c>
      <c r="Q331" s="11">
        <f t="shared" si="25"/>
        <v>31297.142857142866</v>
      </c>
      <c r="R331" s="11">
        <f t="shared" si="26"/>
        <v>3763.0211764705873</v>
      </c>
      <c r="S331" s="11">
        <f t="shared" si="27"/>
        <v>27534.12168067228</v>
      </c>
      <c r="T331" s="11">
        <f t="shared" si="28"/>
        <v>18410.08403361345</v>
      </c>
      <c r="U331" s="11">
        <f t="shared" si="29"/>
        <v>9124.0376470588308</v>
      </c>
    </row>
    <row r="332" spans="1:21" x14ac:dyDescent="0.3">
      <c r="A332" s="2" t="s">
        <v>384</v>
      </c>
      <c r="B332" s="6">
        <v>46118</v>
      </c>
      <c r="C332" s="2" t="s">
        <v>60</v>
      </c>
      <c r="D332" s="2" t="s">
        <v>13</v>
      </c>
      <c r="E332" s="2" t="s">
        <v>14</v>
      </c>
      <c r="F332" s="2" t="s">
        <v>22</v>
      </c>
      <c r="G332" s="2" t="s">
        <v>16</v>
      </c>
      <c r="H332" s="11">
        <v>3.6855702280912301</v>
      </c>
      <c r="I332" s="7">
        <v>0.12038319327731101</v>
      </c>
      <c r="J332" s="11">
        <v>0.97786314525809903</v>
      </c>
      <c r="K332" s="2" t="s">
        <v>17</v>
      </c>
      <c r="L332" s="2" t="str">
        <f>_xlfn.XLOOKUP(D332,Products!A:A,Products!B:B)</f>
        <v>Laptop</v>
      </c>
      <c r="M332" s="2" t="str">
        <f>_xlfn.XLOOKUP(D332,Products!A:A,Products!C:C)</f>
        <v>Electronics</v>
      </c>
      <c r="N332" s="2" t="str">
        <f>_xlfn.XLOOKUP(D332,Products!A:A,Products!D:D)</f>
        <v>HP</v>
      </c>
      <c r="O332" s="2">
        <f>_xlfn.XLOOKUP(D332,Products!A:A,Products!E:E)</f>
        <v>42000</v>
      </c>
      <c r="P332" s="2">
        <f>_xlfn.XLOOKUP(D332,Products!A:A,Products!F:F)</f>
        <v>55000</v>
      </c>
      <c r="Q332" s="11">
        <f t="shared" si="25"/>
        <v>202706.36254501765</v>
      </c>
      <c r="R332" s="11">
        <f t="shared" si="26"/>
        <v>24402.439220797536</v>
      </c>
      <c r="S332" s="11">
        <f t="shared" si="27"/>
        <v>178303.92332422012</v>
      </c>
      <c r="T332" s="11">
        <f t="shared" si="28"/>
        <v>154793.94957983168</v>
      </c>
      <c r="U332" s="11">
        <f t="shared" si="29"/>
        <v>23509.973744388437</v>
      </c>
    </row>
    <row r="333" spans="1:21" x14ac:dyDescent="0.3">
      <c r="A333" s="2" t="s">
        <v>385</v>
      </c>
      <c r="B333" s="6">
        <v>46118</v>
      </c>
      <c r="C333" s="2" t="s">
        <v>62</v>
      </c>
      <c r="D333" s="2" t="s">
        <v>26</v>
      </c>
      <c r="E333" s="2" t="s">
        <v>27</v>
      </c>
      <c r="F333" s="2" t="s">
        <v>15</v>
      </c>
      <c r="G333" s="2" t="s">
        <v>42</v>
      </c>
      <c r="H333" s="11">
        <v>3.6891236494597801</v>
      </c>
      <c r="I333" s="7">
        <v>0.120531092436975</v>
      </c>
      <c r="J333" s="11">
        <v>0.96581032412964996</v>
      </c>
      <c r="K333" s="2" t="s">
        <v>17</v>
      </c>
      <c r="L333" s="2" t="str">
        <f>_xlfn.XLOOKUP(D333,Products!A:A,Products!B:B)</f>
        <v>Face Wash</v>
      </c>
      <c r="M333" s="2" t="str">
        <f>_xlfn.XLOOKUP(D333,Products!A:A,Products!C:C)</f>
        <v>Beauty</v>
      </c>
      <c r="N333" s="2" t="str">
        <f>_xlfn.XLOOKUP(D333,Products!A:A,Products!D:D)</f>
        <v>Nivea</v>
      </c>
      <c r="O333" s="2">
        <f>_xlfn.XLOOKUP(D333,Products!A:A,Products!E:E)</f>
        <v>180</v>
      </c>
      <c r="P333" s="2">
        <f>_xlfn.XLOOKUP(D333,Products!A:A,Products!F:F)</f>
        <v>350</v>
      </c>
      <c r="Q333" s="11">
        <f t="shared" si="25"/>
        <v>1291.1932773109231</v>
      </c>
      <c r="R333" s="11">
        <f t="shared" si="26"/>
        <v>155.62893626156358</v>
      </c>
      <c r="S333" s="11">
        <f t="shared" si="27"/>
        <v>1135.5643410493594</v>
      </c>
      <c r="T333" s="11">
        <f t="shared" si="28"/>
        <v>664.04225690276041</v>
      </c>
      <c r="U333" s="11">
        <f t="shared" si="29"/>
        <v>471.52208414659901</v>
      </c>
    </row>
    <row r="334" spans="1:21" x14ac:dyDescent="0.3">
      <c r="A334" s="2" t="s">
        <v>386</v>
      </c>
      <c r="B334" s="6">
        <v>46119</v>
      </c>
      <c r="C334" s="2" t="s">
        <v>64</v>
      </c>
      <c r="D334" s="2" t="s">
        <v>20</v>
      </c>
      <c r="E334" s="2" t="s">
        <v>21</v>
      </c>
      <c r="F334" s="2" t="s">
        <v>39</v>
      </c>
      <c r="G334" s="2" t="s">
        <v>23</v>
      </c>
      <c r="H334" s="11">
        <v>3.6926770708283301</v>
      </c>
      <c r="I334" s="7">
        <v>0.120678991596639</v>
      </c>
      <c r="J334" s="11">
        <v>0.95375750300119899</v>
      </c>
      <c r="K334" s="2" t="s">
        <v>17</v>
      </c>
      <c r="L334" s="2" t="str">
        <f>_xlfn.XLOOKUP(D334,Products!A:A,Products!B:B)</f>
        <v>Jeans</v>
      </c>
      <c r="M334" s="2" t="str">
        <f>_xlfn.XLOOKUP(D334,Products!A:A,Products!C:C)</f>
        <v>Clothing</v>
      </c>
      <c r="N334" s="2" t="str">
        <f>_xlfn.XLOOKUP(D334,Products!A:A,Products!D:D)</f>
        <v>Wrangler</v>
      </c>
      <c r="O334" s="2">
        <f>_xlfn.XLOOKUP(D334,Products!A:A,Products!E:E)</f>
        <v>1100</v>
      </c>
      <c r="P334" s="2">
        <f>_xlfn.XLOOKUP(D334,Products!A:A,Products!F:F)</f>
        <v>2200</v>
      </c>
      <c r="Q334" s="11">
        <f t="shared" si="25"/>
        <v>8123.8895558223257</v>
      </c>
      <c r="R334" s="11">
        <f t="shared" si="26"/>
        <v>980.38279943910584</v>
      </c>
      <c r="S334" s="11">
        <f t="shared" si="27"/>
        <v>7143.5067563832199</v>
      </c>
      <c r="T334" s="11">
        <f t="shared" si="28"/>
        <v>4061.9447779111629</v>
      </c>
      <c r="U334" s="11">
        <f t="shared" si="29"/>
        <v>3081.561978472057</v>
      </c>
    </row>
    <row r="335" spans="1:21" x14ac:dyDescent="0.3">
      <c r="A335" s="2" t="s">
        <v>387</v>
      </c>
      <c r="B335" s="6">
        <v>46119</v>
      </c>
      <c r="C335" s="2" t="s">
        <v>66</v>
      </c>
      <c r="D335" s="2" t="s">
        <v>37</v>
      </c>
      <c r="E335" s="2" t="s">
        <v>38</v>
      </c>
      <c r="F335" s="2" t="s">
        <v>15</v>
      </c>
      <c r="G335" s="2" t="s">
        <v>16</v>
      </c>
      <c r="H335" s="11">
        <v>3.69623049219688</v>
      </c>
      <c r="I335" s="7">
        <v>0.120826890756303</v>
      </c>
      <c r="J335" s="11">
        <v>0.94170468187275003</v>
      </c>
      <c r="K335" s="2" t="s">
        <v>17</v>
      </c>
      <c r="L335" s="2" t="str">
        <f>_xlfn.XLOOKUP(D335,Products!A:A,Products!B:B)</f>
        <v>Headphones</v>
      </c>
      <c r="M335" s="2" t="str">
        <f>_xlfn.XLOOKUP(D335,Products!A:A,Products!C:C)</f>
        <v>Electronics</v>
      </c>
      <c r="N335" s="2" t="str">
        <f>_xlfn.XLOOKUP(D335,Products!A:A,Products!D:D)</f>
        <v>Sony</v>
      </c>
      <c r="O335" s="2">
        <f>_xlfn.XLOOKUP(D335,Products!A:A,Products!E:E)</f>
        <v>1800</v>
      </c>
      <c r="P335" s="2">
        <f>_xlfn.XLOOKUP(D335,Products!A:A,Products!F:F)</f>
        <v>3200</v>
      </c>
      <c r="Q335" s="11">
        <f t="shared" si="25"/>
        <v>11827.937575030017</v>
      </c>
      <c r="R335" s="11">
        <f t="shared" si="26"/>
        <v>1429.1329212505232</v>
      </c>
      <c r="S335" s="11">
        <f t="shared" si="27"/>
        <v>10398.804653779494</v>
      </c>
      <c r="T335" s="11">
        <f t="shared" si="28"/>
        <v>6653.214885954384</v>
      </c>
      <c r="U335" s="11">
        <f t="shared" si="29"/>
        <v>3745.5897678251104</v>
      </c>
    </row>
    <row r="336" spans="1:21" x14ac:dyDescent="0.3">
      <c r="A336" s="2" t="s">
        <v>388</v>
      </c>
      <c r="B336" s="6">
        <v>46120</v>
      </c>
      <c r="C336" s="2" t="s">
        <v>68</v>
      </c>
      <c r="D336" s="2" t="s">
        <v>40</v>
      </c>
      <c r="E336" s="2" t="s">
        <v>44</v>
      </c>
      <c r="F336" s="2" t="s">
        <v>22</v>
      </c>
      <c r="G336" s="2" t="s">
        <v>29</v>
      </c>
      <c r="H336" s="11">
        <v>3.6997839135654198</v>
      </c>
      <c r="I336" s="7">
        <v>0.120974789915966</v>
      </c>
      <c r="J336" s="11">
        <v>0.92965186074429995</v>
      </c>
      <c r="K336" s="2" t="s">
        <v>30</v>
      </c>
      <c r="L336" s="2" t="str">
        <f>_xlfn.XLOOKUP(D336,Products!A:A,Products!B:B)</f>
        <v>Office Chair</v>
      </c>
      <c r="M336" s="2" t="str">
        <f>_xlfn.XLOOKUP(D336,Products!A:A,Products!C:C)</f>
        <v>Furniture</v>
      </c>
      <c r="N336" s="2" t="str">
        <f>_xlfn.XLOOKUP(D336,Products!A:A,Products!D:D)</f>
        <v>Featherlite</v>
      </c>
      <c r="O336" s="2">
        <f>_xlfn.XLOOKUP(D336,Products!A:A,Products!E:E)</f>
        <v>4500</v>
      </c>
      <c r="P336" s="2">
        <f>_xlfn.XLOOKUP(D336,Products!A:A,Products!F:F)</f>
        <v>7500</v>
      </c>
      <c r="Q336" s="11">
        <f t="shared" si="25"/>
        <v>27748.379351740648</v>
      </c>
      <c r="R336" s="11">
        <f t="shared" si="26"/>
        <v>3356.8543625853536</v>
      </c>
      <c r="S336" s="11">
        <f t="shared" si="27"/>
        <v>24391.524989155296</v>
      </c>
      <c r="T336" s="11">
        <f t="shared" si="28"/>
        <v>16649.027611044388</v>
      </c>
      <c r="U336" s="11">
        <f t="shared" si="29"/>
        <v>7742.4973781109074</v>
      </c>
    </row>
    <row r="337" spans="1:21" x14ac:dyDescent="0.3">
      <c r="A337" s="2" t="s">
        <v>389</v>
      </c>
      <c r="B337" s="6">
        <v>46120</v>
      </c>
      <c r="C337" s="2" t="s">
        <v>12</v>
      </c>
      <c r="D337" s="2" t="s">
        <v>43</v>
      </c>
      <c r="E337" s="2" t="s">
        <v>14</v>
      </c>
      <c r="F337" s="2" t="s">
        <v>15</v>
      </c>
      <c r="G337" s="2" t="s">
        <v>16</v>
      </c>
      <c r="H337" s="11">
        <v>3.7033373349339702</v>
      </c>
      <c r="I337" s="7">
        <v>0.12112268907562999</v>
      </c>
      <c r="J337" s="11">
        <v>0.91759903961584899</v>
      </c>
      <c r="K337" s="2" t="s">
        <v>17</v>
      </c>
      <c r="L337" s="2" t="str">
        <f>_xlfn.XLOOKUP(D337,Products!A:A,Products!B:B)</f>
        <v>Smartphone</v>
      </c>
      <c r="M337" s="2" t="str">
        <f>_xlfn.XLOOKUP(D337,Products!A:A,Products!C:C)</f>
        <v>Electronics</v>
      </c>
      <c r="N337" s="2" t="str">
        <f>_xlfn.XLOOKUP(D337,Products!A:A,Products!D:D)</f>
        <v>Samsung</v>
      </c>
      <c r="O337" s="2">
        <f>_xlfn.XLOOKUP(D337,Products!A:A,Products!E:E)</f>
        <v>14000</v>
      </c>
      <c r="P337" s="2">
        <f>_xlfn.XLOOKUP(D337,Products!A:A,Products!F:F)</f>
        <v>22000</v>
      </c>
      <c r="Q337" s="11">
        <f t="shared" si="25"/>
        <v>81473.421368547351</v>
      </c>
      <c r="R337" s="11">
        <f t="shared" si="26"/>
        <v>9868.2798843503497</v>
      </c>
      <c r="S337" s="11">
        <f t="shared" si="27"/>
        <v>71605.141484196996</v>
      </c>
      <c r="T337" s="11">
        <f t="shared" si="28"/>
        <v>51846.722689075585</v>
      </c>
      <c r="U337" s="11">
        <f t="shared" si="29"/>
        <v>19758.418795121412</v>
      </c>
    </row>
    <row r="338" spans="1:21" x14ac:dyDescent="0.3">
      <c r="A338" s="2" t="s">
        <v>390</v>
      </c>
      <c r="B338" s="6">
        <v>46121</v>
      </c>
      <c r="C338" s="2" t="s">
        <v>19</v>
      </c>
      <c r="D338" s="2" t="s">
        <v>47</v>
      </c>
      <c r="E338" s="2" t="s">
        <v>27</v>
      </c>
      <c r="F338" s="2" t="s">
        <v>41</v>
      </c>
      <c r="G338" s="2" t="s">
        <v>23</v>
      </c>
      <c r="H338" s="11">
        <v>3.7068907563025202</v>
      </c>
      <c r="I338" s="7">
        <v>0.12127058823529401</v>
      </c>
      <c r="J338" s="11">
        <v>0.90554621848738903</v>
      </c>
      <c r="K338" s="2" t="s">
        <v>17</v>
      </c>
      <c r="L338" s="2" t="str">
        <f>_xlfn.XLOOKUP(D338,Products!A:A,Products!B:B)</f>
        <v>Mixer Grinder</v>
      </c>
      <c r="M338" s="2" t="str">
        <f>_xlfn.XLOOKUP(D338,Products!A:A,Products!C:C)</f>
        <v>Home Appliances</v>
      </c>
      <c r="N338" s="2" t="str">
        <f>_xlfn.XLOOKUP(D338,Products!A:A,Products!D:D)</f>
        <v>Philips</v>
      </c>
      <c r="O338" s="2">
        <f>_xlfn.XLOOKUP(D338,Products!A:A,Products!E:E)</f>
        <v>2800</v>
      </c>
      <c r="P338" s="2">
        <f>_xlfn.XLOOKUP(D338,Products!A:A,Products!F:F)</f>
        <v>4800</v>
      </c>
      <c r="Q338" s="11">
        <f t="shared" si="25"/>
        <v>17793.075630252097</v>
      </c>
      <c r="R338" s="11">
        <f t="shared" si="26"/>
        <v>2157.7767481957462</v>
      </c>
      <c r="S338" s="11">
        <f t="shared" si="27"/>
        <v>15635.298882056351</v>
      </c>
      <c r="T338" s="11">
        <f t="shared" si="28"/>
        <v>10379.294117647056</v>
      </c>
      <c r="U338" s="11">
        <f t="shared" si="29"/>
        <v>5256.0047644092956</v>
      </c>
    </row>
    <row r="339" spans="1:21" x14ac:dyDescent="0.3">
      <c r="A339" s="2" t="s">
        <v>391</v>
      </c>
      <c r="B339" s="6">
        <v>46121</v>
      </c>
      <c r="C339" s="2" t="s">
        <v>25</v>
      </c>
      <c r="D339" s="2" t="s">
        <v>51</v>
      </c>
      <c r="E339" s="2" t="s">
        <v>21</v>
      </c>
      <c r="F339" s="2" t="s">
        <v>52</v>
      </c>
      <c r="G339" s="2" t="s">
        <v>29</v>
      </c>
      <c r="H339" s="11">
        <v>3.7104441776710702</v>
      </c>
      <c r="I339" s="7">
        <v>0.121418487394958</v>
      </c>
      <c r="J339" s="11">
        <v>0.89349339735893996</v>
      </c>
      <c r="K339" s="2" t="s">
        <v>30</v>
      </c>
      <c r="L339" s="2" t="str">
        <f>_xlfn.XLOOKUP(D339,Products!A:A,Products!B:B)</f>
        <v>Shirt</v>
      </c>
      <c r="M339" s="2" t="str">
        <f>_xlfn.XLOOKUP(D339,Products!A:A,Products!C:C)</f>
        <v>Clothing</v>
      </c>
      <c r="N339" s="2" t="str">
        <f>_xlfn.XLOOKUP(D339,Products!A:A,Products!D:D)</f>
        <v>Levis</v>
      </c>
      <c r="O339" s="2">
        <f>_xlfn.XLOOKUP(D339,Products!A:A,Products!E:E)</f>
        <v>700</v>
      </c>
      <c r="P339" s="2">
        <f>_xlfn.XLOOKUP(D339,Products!A:A,Products!F:F)</f>
        <v>1500</v>
      </c>
      <c r="Q339" s="11">
        <f t="shared" si="25"/>
        <v>5565.6662665066051</v>
      </c>
      <c r="R339" s="11">
        <f t="shared" si="26"/>
        <v>675.7747794243752</v>
      </c>
      <c r="S339" s="11">
        <f t="shared" si="27"/>
        <v>4889.89148708223</v>
      </c>
      <c r="T339" s="11">
        <f t="shared" si="28"/>
        <v>2597.310924369749</v>
      </c>
      <c r="U339" s="11">
        <f t="shared" si="29"/>
        <v>2292.580562712481</v>
      </c>
    </row>
    <row r="340" spans="1:21" x14ac:dyDescent="0.3">
      <c r="A340" s="2" t="s">
        <v>392</v>
      </c>
      <c r="B340" s="6">
        <v>46122</v>
      </c>
      <c r="C340" s="2" t="s">
        <v>32</v>
      </c>
      <c r="D340" s="2" t="s">
        <v>55</v>
      </c>
      <c r="E340" s="2" t="s">
        <v>38</v>
      </c>
      <c r="F340" s="2" t="s">
        <v>22</v>
      </c>
      <c r="G340" s="2" t="s">
        <v>16</v>
      </c>
      <c r="H340" s="11">
        <v>3.7139975990396099</v>
      </c>
      <c r="I340" s="7">
        <v>0.121566386554622</v>
      </c>
      <c r="J340" s="11">
        <v>0.88144057623048999</v>
      </c>
      <c r="K340" s="2" t="s">
        <v>17</v>
      </c>
      <c r="L340" s="2" t="str">
        <f>_xlfn.XLOOKUP(D340,Products!A:A,Products!B:B)</f>
        <v>Sports Shoes</v>
      </c>
      <c r="M340" s="2" t="str">
        <f>_xlfn.XLOOKUP(D340,Products!A:A,Products!C:C)</f>
        <v>Sports</v>
      </c>
      <c r="N340" s="2" t="str">
        <f>_xlfn.XLOOKUP(D340,Products!A:A,Products!D:D)</f>
        <v>Nike</v>
      </c>
      <c r="O340" s="2">
        <f>_xlfn.XLOOKUP(D340,Products!A:A,Products!E:E)</f>
        <v>2200</v>
      </c>
      <c r="P340" s="2">
        <f>_xlfn.XLOOKUP(D340,Products!A:A,Products!F:F)</f>
        <v>4500</v>
      </c>
      <c r="Q340" s="11">
        <f t="shared" si="25"/>
        <v>16712.989195678245</v>
      </c>
      <c r="R340" s="11">
        <f t="shared" si="26"/>
        <v>2031.7377050450425</v>
      </c>
      <c r="S340" s="11">
        <f t="shared" si="27"/>
        <v>14681.251490633202</v>
      </c>
      <c r="T340" s="11">
        <f t="shared" si="28"/>
        <v>8170.7947178871418</v>
      </c>
      <c r="U340" s="11">
        <f t="shared" si="29"/>
        <v>6510.4567727460599</v>
      </c>
    </row>
    <row r="341" spans="1:21" x14ac:dyDescent="0.3">
      <c r="A341" s="2" t="s">
        <v>393</v>
      </c>
      <c r="B341" s="6">
        <v>46122</v>
      </c>
      <c r="C341" s="2" t="s">
        <v>34</v>
      </c>
      <c r="D341" s="2" t="s">
        <v>58</v>
      </c>
      <c r="E341" s="2" t="s">
        <v>44</v>
      </c>
      <c r="F341" s="2" t="s">
        <v>15</v>
      </c>
      <c r="G341" s="2" t="s">
        <v>23</v>
      </c>
      <c r="H341" s="11">
        <v>3.7175510204081599</v>
      </c>
      <c r="I341" s="7">
        <v>0.121714285714286</v>
      </c>
      <c r="J341" s="11">
        <v>0.86938775510203903</v>
      </c>
      <c r="K341" s="2" t="s">
        <v>17</v>
      </c>
      <c r="L341" s="2" t="str">
        <f>_xlfn.XLOOKUP(D341,Products!A:A,Products!B:B)</f>
        <v>Study Table</v>
      </c>
      <c r="M341" s="2" t="str">
        <f>_xlfn.XLOOKUP(D341,Products!A:A,Products!C:C)</f>
        <v>Furniture</v>
      </c>
      <c r="N341" s="2" t="str">
        <f>_xlfn.XLOOKUP(D341,Products!A:A,Products!D:D)</f>
        <v>Ikea</v>
      </c>
      <c r="O341" s="2">
        <f>_xlfn.XLOOKUP(D341,Products!A:A,Products!E:E)</f>
        <v>5000</v>
      </c>
      <c r="P341" s="2">
        <f>_xlfn.XLOOKUP(D341,Products!A:A,Products!F:F)</f>
        <v>8500</v>
      </c>
      <c r="Q341" s="11">
        <f t="shared" si="25"/>
        <v>31599.183673469361</v>
      </c>
      <c r="R341" s="11">
        <f t="shared" si="26"/>
        <v>3846.0720699708513</v>
      </c>
      <c r="S341" s="11">
        <f t="shared" si="27"/>
        <v>27753.11160349851</v>
      </c>
      <c r="T341" s="11">
        <f t="shared" si="28"/>
        <v>18587.755102040799</v>
      </c>
      <c r="U341" s="11">
        <f t="shared" si="29"/>
        <v>9165.3565014577107</v>
      </c>
    </row>
    <row r="342" spans="1:21" x14ac:dyDescent="0.3">
      <c r="A342" s="2" t="s">
        <v>394</v>
      </c>
      <c r="B342" s="6">
        <v>46123</v>
      </c>
      <c r="C342" s="2" t="s">
        <v>36</v>
      </c>
      <c r="D342" s="2" t="s">
        <v>13</v>
      </c>
      <c r="E342" s="2" t="s">
        <v>14</v>
      </c>
      <c r="F342" s="2" t="s">
        <v>39</v>
      </c>
      <c r="G342" s="2" t="s">
        <v>16</v>
      </c>
      <c r="H342" s="11">
        <v>3.7211044417767098</v>
      </c>
      <c r="I342" s="7">
        <v>0.12186218487394999</v>
      </c>
      <c r="J342" s="11">
        <v>0.85733493397358995</v>
      </c>
      <c r="K342" s="2" t="s">
        <v>17</v>
      </c>
      <c r="L342" s="2" t="str">
        <f>_xlfn.XLOOKUP(D342,Products!A:A,Products!B:B)</f>
        <v>Laptop</v>
      </c>
      <c r="M342" s="2" t="str">
        <f>_xlfn.XLOOKUP(D342,Products!A:A,Products!C:C)</f>
        <v>Electronics</v>
      </c>
      <c r="N342" s="2" t="str">
        <f>_xlfn.XLOOKUP(D342,Products!A:A,Products!D:D)</f>
        <v>HP</v>
      </c>
      <c r="O342" s="2">
        <f>_xlfn.XLOOKUP(D342,Products!A:A,Products!E:E)</f>
        <v>42000</v>
      </c>
      <c r="P342" s="2">
        <f>_xlfn.XLOOKUP(D342,Products!A:A,Products!F:F)</f>
        <v>55000</v>
      </c>
      <c r="Q342" s="11">
        <f t="shared" si="25"/>
        <v>204660.74429771904</v>
      </c>
      <c r="R342" s="11">
        <f t="shared" si="26"/>
        <v>24940.405458048845</v>
      </c>
      <c r="S342" s="11">
        <f t="shared" si="27"/>
        <v>179720.33883967018</v>
      </c>
      <c r="T342" s="11">
        <f t="shared" si="28"/>
        <v>156286.3865546218</v>
      </c>
      <c r="U342" s="11">
        <f t="shared" si="29"/>
        <v>23433.952285048377</v>
      </c>
    </row>
    <row r="343" spans="1:21" x14ac:dyDescent="0.3">
      <c r="A343" s="2" t="s">
        <v>395</v>
      </c>
      <c r="B343" s="6">
        <v>46123</v>
      </c>
      <c r="C343" s="2" t="s">
        <v>46</v>
      </c>
      <c r="D343" s="2" t="s">
        <v>20</v>
      </c>
      <c r="E343" s="2" t="s">
        <v>27</v>
      </c>
      <c r="F343" s="2" t="s">
        <v>15</v>
      </c>
      <c r="G343" s="2" t="s">
        <v>29</v>
      </c>
      <c r="H343" s="11">
        <v>3.72465786314525</v>
      </c>
      <c r="I343" s="7">
        <v>0.12201008403361301</v>
      </c>
      <c r="J343" s="11">
        <v>0.84528211284513999</v>
      </c>
      <c r="K343" s="2" t="s">
        <v>17</v>
      </c>
      <c r="L343" s="2" t="str">
        <f>_xlfn.XLOOKUP(D343,Products!A:A,Products!B:B)</f>
        <v>Jeans</v>
      </c>
      <c r="M343" s="2" t="str">
        <f>_xlfn.XLOOKUP(D343,Products!A:A,Products!C:C)</f>
        <v>Clothing</v>
      </c>
      <c r="N343" s="2" t="str">
        <f>_xlfn.XLOOKUP(D343,Products!A:A,Products!D:D)</f>
        <v>Wrangler</v>
      </c>
      <c r="O343" s="2">
        <f>_xlfn.XLOOKUP(D343,Products!A:A,Products!E:E)</f>
        <v>1100</v>
      </c>
      <c r="P343" s="2">
        <f>_xlfn.XLOOKUP(D343,Products!A:A,Products!F:F)</f>
        <v>2200</v>
      </c>
      <c r="Q343" s="11">
        <f t="shared" si="25"/>
        <v>8194.2472989195503</v>
      </c>
      <c r="R343" s="11">
        <f t="shared" si="26"/>
        <v>999.78080153338078</v>
      </c>
      <c r="S343" s="11">
        <f t="shared" si="27"/>
        <v>7194.4664973861691</v>
      </c>
      <c r="T343" s="11">
        <f t="shared" si="28"/>
        <v>4097.1236494597752</v>
      </c>
      <c r="U343" s="11">
        <f t="shared" si="29"/>
        <v>3097.3428479263939</v>
      </c>
    </row>
    <row r="344" spans="1:21" x14ac:dyDescent="0.3">
      <c r="A344" s="2" t="s">
        <v>396</v>
      </c>
      <c r="B344" s="6">
        <v>46124</v>
      </c>
      <c r="C344" s="2" t="s">
        <v>50</v>
      </c>
      <c r="D344" s="2" t="s">
        <v>26</v>
      </c>
      <c r="E344" s="2" t="s">
        <v>21</v>
      </c>
      <c r="F344" s="2" t="s">
        <v>41</v>
      </c>
      <c r="G344" s="2" t="s">
        <v>23</v>
      </c>
      <c r="H344" s="11">
        <v>3.7282112845138</v>
      </c>
      <c r="I344" s="7">
        <v>0.122157983193277</v>
      </c>
      <c r="J344" s="11">
        <v>0.83322929171668902</v>
      </c>
      <c r="K344" s="2" t="s">
        <v>17</v>
      </c>
      <c r="L344" s="2" t="str">
        <f>_xlfn.XLOOKUP(D344,Products!A:A,Products!B:B)</f>
        <v>Face Wash</v>
      </c>
      <c r="M344" s="2" t="str">
        <f>_xlfn.XLOOKUP(D344,Products!A:A,Products!C:C)</f>
        <v>Beauty</v>
      </c>
      <c r="N344" s="2" t="str">
        <f>_xlfn.XLOOKUP(D344,Products!A:A,Products!D:D)</f>
        <v>Nivea</v>
      </c>
      <c r="O344" s="2">
        <f>_xlfn.XLOOKUP(D344,Products!A:A,Products!E:E)</f>
        <v>180</v>
      </c>
      <c r="P344" s="2">
        <f>_xlfn.XLOOKUP(D344,Products!A:A,Products!F:F)</f>
        <v>350</v>
      </c>
      <c r="Q344" s="11">
        <f t="shared" si="25"/>
        <v>1304.87394957983</v>
      </c>
      <c r="R344" s="11">
        <f t="shared" si="26"/>
        <v>159.40077000211787</v>
      </c>
      <c r="S344" s="11">
        <f t="shared" si="27"/>
        <v>1145.473179577712</v>
      </c>
      <c r="T344" s="11">
        <f t="shared" si="28"/>
        <v>671.07803121248401</v>
      </c>
      <c r="U344" s="11">
        <f t="shared" si="29"/>
        <v>474.39514836522801</v>
      </c>
    </row>
    <row r="345" spans="1:21" x14ac:dyDescent="0.3">
      <c r="A345" s="2" t="s">
        <v>397</v>
      </c>
      <c r="B345" s="6">
        <v>46124</v>
      </c>
      <c r="C345" s="2" t="s">
        <v>54</v>
      </c>
      <c r="D345" s="2" t="s">
        <v>37</v>
      </c>
      <c r="E345" s="2" t="s">
        <v>38</v>
      </c>
      <c r="F345" s="2" t="s">
        <v>22</v>
      </c>
      <c r="G345" s="2" t="s">
        <v>16</v>
      </c>
      <c r="H345" s="11">
        <v>3.73176470588235</v>
      </c>
      <c r="I345" s="7">
        <v>0.122305882352941</v>
      </c>
      <c r="J345" s="11">
        <v>0.82117647058822896</v>
      </c>
      <c r="K345" s="2" t="s">
        <v>30</v>
      </c>
      <c r="L345" s="2" t="str">
        <f>_xlfn.XLOOKUP(D345,Products!A:A,Products!B:B)</f>
        <v>Headphones</v>
      </c>
      <c r="M345" s="2" t="str">
        <f>_xlfn.XLOOKUP(D345,Products!A:A,Products!C:C)</f>
        <v>Electronics</v>
      </c>
      <c r="N345" s="2" t="str">
        <f>_xlfn.XLOOKUP(D345,Products!A:A,Products!D:D)</f>
        <v>Sony</v>
      </c>
      <c r="O345" s="2">
        <f>_xlfn.XLOOKUP(D345,Products!A:A,Products!E:E)</f>
        <v>1800</v>
      </c>
      <c r="P345" s="2">
        <f>_xlfn.XLOOKUP(D345,Products!A:A,Products!F:F)</f>
        <v>3200</v>
      </c>
      <c r="Q345" s="11">
        <f t="shared" si="25"/>
        <v>11941.647058823521</v>
      </c>
      <c r="R345" s="11">
        <f t="shared" si="26"/>
        <v>1460.5336802768134</v>
      </c>
      <c r="S345" s="11">
        <f t="shared" si="27"/>
        <v>10481.113378546706</v>
      </c>
      <c r="T345" s="11">
        <f t="shared" si="28"/>
        <v>6717.1764705882297</v>
      </c>
      <c r="U345" s="11">
        <f t="shared" si="29"/>
        <v>3763.9369079584767</v>
      </c>
    </row>
    <row r="346" spans="1:21" x14ac:dyDescent="0.3">
      <c r="A346" s="2" t="s">
        <v>398</v>
      </c>
      <c r="B346" s="6">
        <v>46125</v>
      </c>
      <c r="C346" s="2" t="s">
        <v>57</v>
      </c>
      <c r="D346" s="2" t="s">
        <v>40</v>
      </c>
      <c r="E346" s="2" t="s">
        <v>44</v>
      </c>
      <c r="F346" s="2" t="s">
        <v>15</v>
      </c>
      <c r="G346" s="2" t="s">
        <v>42</v>
      </c>
      <c r="H346" s="11">
        <v>3.7353181272509</v>
      </c>
      <c r="I346" s="7">
        <v>0.122453781512605</v>
      </c>
      <c r="J346" s="11">
        <v>0.80912364945977999</v>
      </c>
      <c r="K346" s="2" t="s">
        <v>17</v>
      </c>
      <c r="L346" s="2" t="str">
        <f>_xlfn.XLOOKUP(D346,Products!A:A,Products!B:B)</f>
        <v>Office Chair</v>
      </c>
      <c r="M346" s="2" t="str">
        <f>_xlfn.XLOOKUP(D346,Products!A:A,Products!C:C)</f>
        <v>Furniture</v>
      </c>
      <c r="N346" s="2" t="str">
        <f>_xlfn.XLOOKUP(D346,Products!A:A,Products!D:D)</f>
        <v>Featherlite</v>
      </c>
      <c r="O346" s="2">
        <f>_xlfn.XLOOKUP(D346,Products!A:A,Products!E:E)</f>
        <v>4500</v>
      </c>
      <c r="P346" s="2">
        <f>_xlfn.XLOOKUP(D346,Products!A:A,Products!F:F)</f>
        <v>7500</v>
      </c>
      <c r="Q346" s="11">
        <f t="shared" si="25"/>
        <v>28014.885954381749</v>
      </c>
      <c r="R346" s="11">
        <f t="shared" si="26"/>
        <v>3430.5287237584093</v>
      </c>
      <c r="S346" s="11">
        <f t="shared" si="27"/>
        <v>24584.35723062334</v>
      </c>
      <c r="T346" s="11">
        <f t="shared" si="28"/>
        <v>16808.931572629052</v>
      </c>
      <c r="U346" s="11">
        <f t="shared" si="29"/>
        <v>7775.4256579942885</v>
      </c>
    </row>
    <row r="347" spans="1:21" x14ac:dyDescent="0.3">
      <c r="A347" s="2" t="s">
        <v>399</v>
      </c>
      <c r="B347" s="6">
        <v>46125</v>
      </c>
      <c r="C347" s="2" t="s">
        <v>60</v>
      </c>
      <c r="D347" s="2" t="s">
        <v>47</v>
      </c>
      <c r="E347" s="2" t="s">
        <v>14</v>
      </c>
      <c r="F347" s="2" t="s">
        <v>52</v>
      </c>
      <c r="G347" s="2" t="s">
        <v>16</v>
      </c>
      <c r="H347" s="11">
        <v>3.7388715486194402</v>
      </c>
      <c r="I347" s="7">
        <v>0.122601680672269</v>
      </c>
      <c r="J347" s="11">
        <v>0.79707082833132903</v>
      </c>
      <c r="K347" s="2" t="s">
        <v>17</v>
      </c>
      <c r="L347" s="2" t="str">
        <f>_xlfn.XLOOKUP(D347,Products!A:A,Products!B:B)</f>
        <v>Mixer Grinder</v>
      </c>
      <c r="M347" s="2" t="str">
        <f>_xlfn.XLOOKUP(D347,Products!A:A,Products!C:C)</f>
        <v>Home Appliances</v>
      </c>
      <c r="N347" s="2" t="str">
        <f>_xlfn.XLOOKUP(D347,Products!A:A,Products!D:D)</f>
        <v>Philips</v>
      </c>
      <c r="O347" s="2">
        <f>_xlfn.XLOOKUP(D347,Products!A:A,Products!E:E)</f>
        <v>2800</v>
      </c>
      <c r="P347" s="2">
        <f>_xlfn.XLOOKUP(D347,Products!A:A,Products!F:F)</f>
        <v>4800</v>
      </c>
      <c r="Q347" s="11">
        <f t="shared" si="25"/>
        <v>17946.583433373311</v>
      </c>
      <c r="R347" s="11">
        <f t="shared" si="26"/>
        <v>2200.2812912566678</v>
      </c>
      <c r="S347" s="11">
        <f t="shared" si="27"/>
        <v>15746.302142116643</v>
      </c>
      <c r="T347" s="11">
        <f t="shared" si="28"/>
        <v>10468.840336134432</v>
      </c>
      <c r="U347" s="11">
        <f t="shared" si="29"/>
        <v>5277.4618059822114</v>
      </c>
    </row>
    <row r="348" spans="1:21" x14ac:dyDescent="0.3">
      <c r="A348" s="2" t="s">
        <v>400</v>
      </c>
      <c r="B348" s="6">
        <v>46126</v>
      </c>
      <c r="C348" s="2" t="s">
        <v>62</v>
      </c>
      <c r="D348" s="2" t="s">
        <v>43</v>
      </c>
      <c r="E348" s="2" t="s">
        <v>27</v>
      </c>
      <c r="F348" s="2" t="s">
        <v>22</v>
      </c>
      <c r="G348" s="2" t="s">
        <v>23</v>
      </c>
      <c r="H348" s="11">
        <v>3.7424249699879901</v>
      </c>
      <c r="I348" s="7">
        <v>0.12274957983193301</v>
      </c>
      <c r="J348" s="11">
        <v>0.78501800720287895</v>
      </c>
      <c r="K348" s="2" t="s">
        <v>17</v>
      </c>
      <c r="L348" s="2" t="str">
        <f>_xlfn.XLOOKUP(D348,Products!A:A,Products!B:B)</f>
        <v>Smartphone</v>
      </c>
      <c r="M348" s="2" t="str">
        <f>_xlfn.XLOOKUP(D348,Products!A:A,Products!C:C)</f>
        <v>Electronics</v>
      </c>
      <c r="N348" s="2" t="str">
        <f>_xlfn.XLOOKUP(D348,Products!A:A,Products!D:D)</f>
        <v>Samsung</v>
      </c>
      <c r="O348" s="2">
        <f>_xlfn.XLOOKUP(D348,Products!A:A,Products!E:E)</f>
        <v>14000</v>
      </c>
      <c r="P348" s="2">
        <f>_xlfn.XLOOKUP(D348,Products!A:A,Products!F:F)</f>
        <v>22000</v>
      </c>
      <c r="Q348" s="11">
        <f t="shared" si="25"/>
        <v>82333.349339735782</v>
      </c>
      <c r="R348" s="11">
        <f t="shared" si="26"/>
        <v>10106.384037608326</v>
      </c>
      <c r="S348" s="11">
        <f t="shared" si="27"/>
        <v>72226.965302127457</v>
      </c>
      <c r="T348" s="11">
        <f t="shared" si="28"/>
        <v>52393.94957983186</v>
      </c>
      <c r="U348" s="11">
        <f t="shared" si="29"/>
        <v>19833.015722295597</v>
      </c>
    </row>
    <row r="349" spans="1:21" x14ac:dyDescent="0.3">
      <c r="A349" s="2" t="s">
        <v>401</v>
      </c>
      <c r="B349" s="6">
        <v>46126</v>
      </c>
      <c r="C349" s="2" t="s">
        <v>64</v>
      </c>
      <c r="D349" s="2" t="s">
        <v>51</v>
      </c>
      <c r="E349" s="2" t="s">
        <v>21</v>
      </c>
      <c r="F349" s="2" t="s">
        <v>15</v>
      </c>
      <c r="G349" s="2" t="s">
        <v>29</v>
      </c>
      <c r="H349" s="11">
        <v>3.7459783913565401</v>
      </c>
      <c r="I349" s="7">
        <v>0.122897478991597</v>
      </c>
      <c r="J349" s="11">
        <v>0.77296518607442999</v>
      </c>
      <c r="K349" s="2" t="s">
        <v>48</v>
      </c>
      <c r="L349" s="2" t="str">
        <f>_xlfn.XLOOKUP(D349,Products!A:A,Products!B:B)</f>
        <v>Shirt</v>
      </c>
      <c r="M349" s="2" t="str">
        <f>_xlfn.XLOOKUP(D349,Products!A:A,Products!C:C)</f>
        <v>Clothing</v>
      </c>
      <c r="N349" s="2" t="str">
        <f>_xlfn.XLOOKUP(D349,Products!A:A,Products!D:D)</f>
        <v>Levis</v>
      </c>
      <c r="O349" s="2">
        <f>_xlfn.XLOOKUP(D349,Products!A:A,Products!E:E)</f>
        <v>700</v>
      </c>
      <c r="P349" s="2">
        <f>_xlfn.XLOOKUP(D349,Products!A:A,Products!F:F)</f>
        <v>1500</v>
      </c>
      <c r="Q349" s="11">
        <f t="shared" si="25"/>
        <v>5618.9675870348101</v>
      </c>
      <c r="R349" s="11">
        <f t="shared" si="26"/>
        <v>690.55695098207514</v>
      </c>
      <c r="S349" s="11">
        <f t="shared" si="27"/>
        <v>4928.4106360527348</v>
      </c>
      <c r="T349" s="11">
        <f t="shared" si="28"/>
        <v>2622.1848739495781</v>
      </c>
      <c r="U349" s="11">
        <f t="shared" si="29"/>
        <v>2306.2257621031567</v>
      </c>
    </row>
    <row r="350" spans="1:21" x14ac:dyDescent="0.3">
      <c r="A350" s="2" t="s">
        <v>402</v>
      </c>
      <c r="B350" s="6">
        <v>46127</v>
      </c>
      <c r="C350" s="2" t="s">
        <v>66</v>
      </c>
      <c r="D350" s="2" t="s">
        <v>55</v>
      </c>
      <c r="E350" s="2" t="s">
        <v>38</v>
      </c>
      <c r="F350" s="2" t="s">
        <v>39</v>
      </c>
      <c r="G350" s="2" t="s">
        <v>16</v>
      </c>
      <c r="H350" s="11">
        <v>3.7495318127250901</v>
      </c>
      <c r="I350" s="7">
        <v>0.123045378151261</v>
      </c>
      <c r="J350" s="11">
        <v>0.76091236494597903</v>
      </c>
      <c r="K350" s="2" t="s">
        <v>17</v>
      </c>
      <c r="L350" s="2" t="str">
        <f>_xlfn.XLOOKUP(D350,Products!A:A,Products!B:B)</f>
        <v>Sports Shoes</v>
      </c>
      <c r="M350" s="2" t="str">
        <f>_xlfn.XLOOKUP(D350,Products!A:A,Products!C:C)</f>
        <v>Sports</v>
      </c>
      <c r="N350" s="2" t="str">
        <f>_xlfn.XLOOKUP(D350,Products!A:A,Products!D:D)</f>
        <v>Nike</v>
      </c>
      <c r="O350" s="2">
        <f>_xlfn.XLOOKUP(D350,Products!A:A,Products!E:E)</f>
        <v>2200</v>
      </c>
      <c r="P350" s="2">
        <f>_xlfn.XLOOKUP(D350,Products!A:A,Products!F:F)</f>
        <v>4500</v>
      </c>
      <c r="Q350" s="11">
        <f t="shared" si="25"/>
        <v>16872.893157262904</v>
      </c>
      <c r="R350" s="11">
        <f t="shared" si="26"/>
        <v>2076.1315190412383</v>
      </c>
      <c r="S350" s="11">
        <f t="shared" si="27"/>
        <v>14796.761638221666</v>
      </c>
      <c r="T350" s="11">
        <f t="shared" si="28"/>
        <v>8248.9699879951986</v>
      </c>
      <c r="U350" s="11">
        <f t="shared" si="29"/>
        <v>6547.791650226467</v>
      </c>
    </row>
    <row r="351" spans="1:21" x14ac:dyDescent="0.3">
      <c r="A351" s="2" t="s">
        <v>403</v>
      </c>
      <c r="B351" s="6">
        <v>46127</v>
      </c>
      <c r="C351" s="2" t="s">
        <v>68</v>
      </c>
      <c r="D351" s="2" t="s">
        <v>58</v>
      </c>
      <c r="E351" s="2" t="s">
        <v>44</v>
      </c>
      <c r="F351" s="2" t="s">
        <v>41</v>
      </c>
      <c r="G351" s="2" t="s">
        <v>23</v>
      </c>
      <c r="H351" s="11">
        <v>3.7530852340936298</v>
      </c>
      <c r="I351" s="7">
        <v>0.123193277310924</v>
      </c>
      <c r="J351" s="11">
        <v>0.74885954381752895</v>
      </c>
      <c r="K351" s="2" t="s">
        <v>17</v>
      </c>
      <c r="L351" s="2" t="str">
        <f>_xlfn.XLOOKUP(D351,Products!A:A,Products!B:B)</f>
        <v>Study Table</v>
      </c>
      <c r="M351" s="2" t="str">
        <f>_xlfn.XLOOKUP(D351,Products!A:A,Products!C:C)</f>
        <v>Furniture</v>
      </c>
      <c r="N351" s="2" t="str">
        <f>_xlfn.XLOOKUP(D351,Products!A:A,Products!D:D)</f>
        <v>Ikea</v>
      </c>
      <c r="O351" s="2">
        <f>_xlfn.XLOOKUP(D351,Products!A:A,Products!E:E)</f>
        <v>5000</v>
      </c>
      <c r="P351" s="2">
        <f>_xlfn.XLOOKUP(D351,Products!A:A,Products!F:F)</f>
        <v>8500</v>
      </c>
      <c r="Q351" s="11">
        <f t="shared" si="25"/>
        <v>31901.224489795852</v>
      </c>
      <c r="R351" s="11">
        <f t="shared" si="26"/>
        <v>3930.0163951294603</v>
      </c>
      <c r="S351" s="11">
        <f t="shared" si="27"/>
        <v>27971.208094666392</v>
      </c>
      <c r="T351" s="11">
        <f t="shared" si="28"/>
        <v>18765.426170468148</v>
      </c>
      <c r="U351" s="11">
        <f t="shared" si="29"/>
        <v>9205.7819241982434</v>
      </c>
    </row>
    <row r="352" spans="1:21" x14ac:dyDescent="0.3">
      <c r="A352" s="2" t="s">
        <v>404</v>
      </c>
      <c r="B352" s="6">
        <v>46128</v>
      </c>
      <c r="C352" s="2" t="s">
        <v>12</v>
      </c>
      <c r="D352" s="2" t="s">
        <v>13</v>
      </c>
      <c r="E352" s="2" t="s">
        <v>14</v>
      </c>
      <c r="F352" s="2" t="s">
        <v>15</v>
      </c>
      <c r="G352" s="2" t="s">
        <v>16</v>
      </c>
      <c r="H352" s="11">
        <v>3.7566386554621798</v>
      </c>
      <c r="I352" s="7">
        <v>0.123341176470588</v>
      </c>
      <c r="J352" s="11">
        <v>0.73680672268906899</v>
      </c>
      <c r="K352" s="2" t="s">
        <v>17</v>
      </c>
      <c r="L352" s="2" t="str">
        <f>_xlfn.XLOOKUP(D352,Products!A:A,Products!B:B)</f>
        <v>Laptop</v>
      </c>
      <c r="M352" s="2" t="str">
        <f>_xlfn.XLOOKUP(D352,Products!A:A,Products!C:C)</f>
        <v>Electronics</v>
      </c>
      <c r="N352" s="2" t="str">
        <f>_xlfn.XLOOKUP(D352,Products!A:A,Products!D:D)</f>
        <v>HP</v>
      </c>
      <c r="O352" s="2">
        <f>_xlfn.XLOOKUP(D352,Products!A:A,Products!E:E)</f>
        <v>42000</v>
      </c>
      <c r="P352" s="2">
        <f>_xlfn.XLOOKUP(D352,Products!A:A,Products!F:F)</f>
        <v>55000</v>
      </c>
      <c r="Q352" s="11">
        <f t="shared" si="25"/>
        <v>206615.1260504199</v>
      </c>
      <c r="R352" s="11">
        <f t="shared" si="26"/>
        <v>25484.152723677624</v>
      </c>
      <c r="S352" s="11">
        <f t="shared" si="27"/>
        <v>181130.97332674227</v>
      </c>
      <c r="T352" s="11">
        <f t="shared" si="28"/>
        <v>157778.82352941154</v>
      </c>
      <c r="U352" s="11">
        <f t="shared" si="29"/>
        <v>23352.149797330727</v>
      </c>
    </row>
    <row r="353" spans="1:21" x14ac:dyDescent="0.3">
      <c r="A353" s="2" t="s">
        <v>405</v>
      </c>
      <c r="B353" s="6">
        <v>46128</v>
      </c>
      <c r="C353" s="2" t="s">
        <v>19</v>
      </c>
      <c r="D353" s="2" t="s">
        <v>37</v>
      </c>
      <c r="E353" s="2" t="s">
        <v>27</v>
      </c>
      <c r="F353" s="2" t="s">
        <v>22</v>
      </c>
      <c r="G353" s="2" t="s">
        <v>29</v>
      </c>
      <c r="H353" s="11">
        <v>3.7601920768307302</v>
      </c>
      <c r="I353" s="7">
        <v>0.12348907563025199</v>
      </c>
      <c r="J353" s="11">
        <v>0.72475390156062003</v>
      </c>
      <c r="K353" s="2" t="s">
        <v>30</v>
      </c>
      <c r="L353" s="2" t="str">
        <f>_xlfn.XLOOKUP(D353,Products!A:A,Products!B:B)</f>
        <v>Headphones</v>
      </c>
      <c r="M353" s="2" t="str">
        <f>_xlfn.XLOOKUP(D353,Products!A:A,Products!C:C)</f>
        <v>Electronics</v>
      </c>
      <c r="N353" s="2" t="str">
        <f>_xlfn.XLOOKUP(D353,Products!A:A,Products!D:D)</f>
        <v>Sony</v>
      </c>
      <c r="O353" s="2">
        <f>_xlfn.XLOOKUP(D353,Products!A:A,Products!E:E)</f>
        <v>1800</v>
      </c>
      <c r="P353" s="2">
        <f>_xlfn.XLOOKUP(D353,Products!A:A,Products!F:F)</f>
        <v>3200</v>
      </c>
      <c r="Q353" s="11">
        <f t="shared" si="25"/>
        <v>12032.614645858337</v>
      </c>
      <c r="R353" s="11">
        <f t="shared" si="26"/>
        <v>1485.896460032078</v>
      </c>
      <c r="S353" s="11">
        <f t="shared" si="27"/>
        <v>10546.718185826259</v>
      </c>
      <c r="T353" s="11">
        <f t="shared" si="28"/>
        <v>6768.3457382953147</v>
      </c>
      <c r="U353" s="11">
        <f t="shared" si="29"/>
        <v>3778.3724475309446</v>
      </c>
    </row>
    <row r="354" spans="1:21" x14ac:dyDescent="0.3">
      <c r="A354" s="2" t="s">
        <v>406</v>
      </c>
      <c r="B354" s="6">
        <v>46129</v>
      </c>
      <c r="C354" s="2" t="s">
        <v>25</v>
      </c>
      <c r="D354" s="2" t="s">
        <v>20</v>
      </c>
      <c r="E354" s="2" t="s">
        <v>21</v>
      </c>
      <c r="F354" s="2" t="s">
        <v>39</v>
      </c>
      <c r="G354" s="2" t="s">
        <v>23</v>
      </c>
      <c r="H354" s="11">
        <v>3.7637454981992802</v>
      </c>
      <c r="I354" s="7">
        <v>0.123636974789916</v>
      </c>
      <c r="J354" s="11">
        <v>0.71270108043216895</v>
      </c>
      <c r="K354" s="2" t="s">
        <v>17</v>
      </c>
      <c r="L354" s="2" t="str">
        <f>_xlfn.XLOOKUP(D354,Products!A:A,Products!B:B)</f>
        <v>Jeans</v>
      </c>
      <c r="M354" s="2" t="str">
        <f>_xlfn.XLOOKUP(D354,Products!A:A,Products!C:C)</f>
        <v>Clothing</v>
      </c>
      <c r="N354" s="2" t="str">
        <f>_xlfn.XLOOKUP(D354,Products!A:A,Products!D:D)</f>
        <v>Wrangler</v>
      </c>
      <c r="O354" s="2">
        <f>_xlfn.XLOOKUP(D354,Products!A:A,Products!E:E)</f>
        <v>1100</v>
      </c>
      <c r="P354" s="2">
        <f>_xlfn.XLOOKUP(D354,Products!A:A,Products!F:F)</f>
        <v>2200</v>
      </c>
      <c r="Q354" s="11">
        <f t="shared" si="25"/>
        <v>8280.2400960384166</v>
      </c>
      <c r="R354" s="11">
        <f t="shared" si="26"/>
        <v>1023.7438360083534</v>
      </c>
      <c r="S354" s="11">
        <f t="shared" si="27"/>
        <v>7256.4962600300632</v>
      </c>
      <c r="T354" s="11">
        <f t="shared" si="28"/>
        <v>4140.1200480192083</v>
      </c>
      <c r="U354" s="11">
        <f t="shared" si="29"/>
        <v>3116.3762120108549</v>
      </c>
    </row>
    <row r="355" spans="1:21" x14ac:dyDescent="0.3">
      <c r="A355" s="2" t="s">
        <v>407</v>
      </c>
      <c r="B355" s="6">
        <v>46129</v>
      </c>
      <c r="C355" s="2" t="s">
        <v>32</v>
      </c>
      <c r="D355" s="2" t="s">
        <v>40</v>
      </c>
      <c r="E355" s="2" t="s">
        <v>38</v>
      </c>
      <c r="F355" s="2" t="s">
        <v>15</v>
      </c>
      <c r="G355" s="2" t="s">
        <v>16</v>
      </c>
      <c r="H355" s="11">
        <v>3.7672989195678199</v>
      </c>
      <c r="I355" s="7">
        <v>0.12378487394958</v>
      </c>
      <c r="J355" s="11">
        <v>0.70064825930371899</v>
      </c>
      <c r="K355" s="2" t="s">
        <v>17</v>
      </c>
      <c r="L355" s="2" t="str">
        <f>_xlfn.XLOOKUP(D355,Products!A:A,Products!B:B)</f>
        <v>Office Chair</v>
      </c>
      <c r="M355" s="2" t="str">
        <f>_xlfn.XLOOKUP(D355,Products!A:A,Products!C:C)</f>
        <v>Furniture</v>
      </c>
      <c r="N355" s="2" t="str">
        <f>_xlfn.XLOOKUP(D355,Products!A:A,Products!D:D)</f>
        <v>Featherlite</v>
      </c>
      <c r="O355" s="2">
        <f>_xlfn.XLOOKUP(D355,Products!A:A,Products!E:E)</f>
        <v>4500</v>
      </c>
      <c r="P355" s="2">
        <f>_xlfn.XLOOKUP(D355,Products!A:A,Products!F:F)</f>
        <v>7500</v>
      </c>
      <c r="Q355" s="11">
        <f t="shared" si="25"/>
        <v>28254.741896758649</v>
      </c>
      <c r="R355" s="11">
        <f t="shared" si="26"/>
        <v>3497.5096641681862</v>
      </c>
      <c r="S355" s="11">
        <f t="shared" si="27"/>
        <v>24757.232232590464</v>
      </c>
      <c r="T355" s="11">
        <f t="shared" si="28"/>
        <v>16952.845138055189</v>
      </c>
      <c r="U355" s="11">
        <f t="shared" si="29"/>
        <v>7804.3870945352755</v>
      </c>
    </row>
    <row r="356" spans="1:21" x14ac:dyDescent="0.3">
      <c r="A356" s="2" t="s">
        <v>408</v>
      </c>
      <c r="B356" s="6">
        <v>46130</v>
      </c>
      <c r="C356" s="2" t="s">
        <v>34</v>
      </c>
      <c r="D356" s="2" t="s">
        <v>26</v>
      </c>
      <c r="E356" s="2" t="s">
        <v>44</v>
      </c>
      <c r="F356" s="2" t="s">
        <v>22</v>
      </c>
      <c r="G356" s="2" t="s">
        <v>42</v>
      </c>
      <c r="H356" s="11">
        <v>3.7708523409363699</v>
      </c>
      <c r="I356" s="7">
        <v>0.123932773109244</v>
      </c>
      <c r="J356" s="11">
        <v>0.68859543817527002</v>
      </c>
      <c r="K356" s="2" t="s">
        <v>17</v>
      </c>
      <c r="L356" s="2" t="str">
        <f>_xlfn.XLOOKUP(D356,Products!A:A,Products!B:B)</f>
        <v>Face Wash</v>
      </c>
      <c r="M356" s="2" t="str">
        <f>_xlfn.XLOOKUP(D356,Products!A:A,Products!C:C)</f>
        <v>Beauty</v>
      </c>
      <c r="N356" s="2" t="str">
        <f>_xlfn.XLOOKUP(D356,Products!A:A,Products!D:D)</f>
        <v>Nivea</v>
      </c>
      <c r="O356" s="2">
        <f>_xlfn.XLOOKUP(D356,Products!A:A,Products!E:E)</f>
        <v>180</v>
      </c>
      <c r="P356" s="2">
        <f>_xlfn.XLOOKUP(D356,Products!A:A,Products!F:F)</f>
        <v>350</v>
      </c>
      <c r="Q356" s="11">
        <f t="shared" si="25"/>
        <v>1319.7983193277294</v>
      </c>
      <c r="R356" s="11">
        <f t="shared" si="26"/>
        <v>163.56626565920504</v>
      </c>
      <c r="S356" s="11">
        <f t="shared" si="27"/>
        <v>1156.2320536685243</v>
      </c>
      <c r="T356" s="11">
        <f t="shared" si="28"/>
        <v>678.75342136854658</v>
      </c>
      <c r="U356" s="11">
        <f t="shared" si="29"/>
        <v>477.47863229997768</v>
      </c>
    </row>
    <row r="357" spans="1:21" x14ac:dyDescent="0.3">
      <c r="A357" s="2" t="s">
        <v>409</v>
      </c>
      <c r="B357" s="6">
        <v>46130</v>
      </c>
      <c r="C357" s="2" t="s">
        <v>36</v>
      </c>
      <c r="D357" s="2" t="s">
        <v>47</v>
      </c>
      <c r="E357" s="2" t="s">
        <v>14</v>
      </c>
      <c r="F357" s="2" t="s">
        <v>41</v>
      </c>
      <c r="G357" s="2" t="s">
        <v>23</v>
      </c>
      <c r="H357" s="11">
        <v>3.7744057623049199</v>
      </c>
      <c r="I357" s="7">
        <v>0.124080672268908</v>
      </c>
      <c r="J357" s="11">
        <v>0.67654261704681895</v>
      </c>
      <c r="K357" s="2" t="s">
        <v>17</v>
      </c>
      <c r="L357" s="2" t="str">
        <f>_xlfn.XLOOKUP(D357,Products!A:A,Products!B:B)</f>
        <v>Mixer Grinder</v>
      </c>
      <c r="M357" s="2" t="str">
        <f>_xlfn.XLOOKUP(D357,Products!A:A,Products!C:C)</f>
        <v>Home Appliances</v>
      </c>
      <c r="N357" s="2" t="str">
        <f>_xlfn.XLOOKUP(D357,Products!A:A,Products!D:D)</f>
        <v>Philips</v>
      </c>
      <c r="O357" s="2">
        <f>_xlfn.XLOOKUP(D357,Products!A:A,Products!E:E)</f>
        <v>2800</v>
      </c>
      <c r="P357" s="2">
        <f>_xlfn.XLOOKUP(D357,Products!A:A,Products!F:F)</f>
        <v>4800</v>
      </c>
      <c r="Q357" s="11">
        <f t="shared" si="25"/>
        <v>18117.147659063616</v>
      </c>
      <c r="R357" s="11">
        <f t="shared" si="26"/>
        <v>2247.9878611316863</v>
      </c>
      <c r="S357" s="11">
        <f t="shared" si="27"/>
        <v>15869.15979793193</v>
      </c>
      <c r="T357" s="11">
        <f t="shared" si="28"/>
        <v>10568.336134453775</v>
      </c>
      <c r="U357" s="11">
        <f t="shared" si="29"/>
        <v>5300.8236634781551</v>
      </c>
    </row>
    <row r="358" spans="1:21" x14ac:dyDescent="0.3">
      <c r="A358" s="2" t="s">
        <v>410</v>
      </c>
      <c r="B358" s="6">
        <v>46131</v>
      </c>
      <c r="C358" s="2" t="s">
        <v>46</v>
      </c>
      <c r="D358" s="2" t="s">
        <v>43</v>
      </c>
      <c r="E358" s="2" t="s">
        <v>27</v>
      </c>
      <c r="F358" s="2" t="s">
        <v>15</v>
      </c>
      <c r="G358" s="2" t="s">
        <v>16</v>
      </c>
      <c r="H358" s="11">
        <v>3.7779591836734698</v>
      </c>
      <c r="I358" s="7">
        <v>0.12422857142857099</v>
      </c>
      <c r="J358" s="11">
        <v>0.66448979591836899</v>
      </c>
      <c r="K358" s="2" t="s">
        <v>17</v>
      </c>
      <c r="L358" s="2" t="str">
        <f>_xlfn.XLOOKUP(D358,Products!A:A,Products!B:B)</f>
        <v>Smartphone</v>
      </c>
      <c r="M358" s="2" t="str">
        <f>_xlfn.XLOOKUP(D358,Products!A:A,Products!C:C)</f>
        <v>Electronics</v>
      </c>
      <c r="N358" s="2" t="str">
        <f>_xlfn.XLOOKUP(D358,Products!A:A,Products!D:D)</f>
        <v>Samsung</v>
      </c>
      <c r="O358" s="2">
        <f>_xlfn.XLOOKUP(D358,Products!A:A,Products!E:E)</f>
        <v>14000</v>
      </c>
      <c r="P358" s="2">
        <f>_xlfn.XLOOKUP(D358,Products!A:A,Products!F:F)</f>
        <v>22000</v>
      </c>
      <c r="Q358" s="11">
        <f t="shared" si="25"/>
        <v>83115.102040816331</v>
      </c>
      <c r="R358" s="11">
        <f t="shared" si="26"/>
        <v>10325.270390670519</v>
      </c>
      <c r="S358" s="11">
        <f t="shared" si="27"/>
        <v>72789.831650145818</v>
      </c>
      <c r="T358" s="11">
        <f t="shared" si="28"/>
        <v>52891.42857142858</v>
      </c>
      <c r="U358" s="11">
        <f t="shared" si="29"/>
        <v>19898.403078717238</v>
      </c>
    </row>
    <row r="359" spans="1:21" x14ac:dyDescent="0.3">
      <c r="A359" s="2" t="s">
        <v>411</v>
      </c>
      <c r="B359" s="6">
        <v>46131</v>
      </c>
      <c r="C359" s="2" t="s">
        <v>50</v>
      </c>
      <c r="D359" s="2" t="s">
        <v>51</v>
      </c>
      <c r="E359" s="2" t="s">
        <v>21</v>
      </c>
      <c r="F359" s="2" t="s">
        <v>52</v>
      </c>
      <c r="G359" s="2" t="s">
        <v>29</v>
      </c>
      <c r="H359" s="11">
        <v>3.78151260504201</v>
      </c>
      <c r="I359" s="7">
        <v>0.12437647058823501</v>
      </c>
      <c r="J359" s="11">
        <v>0.65243697478991003</v>
      </c>
      <c r="K359" s="2" t="s">
        <v>30</v>
      </c>
      <c r="L359" s="2" t="str">
        <f>_xlfn.XLOOKUP(D359,Products!A:A,Products!B:B)</f>
        <v>Shirt</v>
      </c>
      <c r="M359" s="2" t="str">
        <f>_xlfn.XLOOKUP(D359,Products!A:A,Products!C:C)</f>
        <v>Clothing</v>
      </c>
      <c r="N359" s="2" t="str">
        <f>_xlfn.XLOOKUP(D359,Products!A:A,Products!D:D)</f>
        <v>Levis</v>
      </c>
      <c r="O359" s="2">
        <f>_xlfn.XLOOKUP(D359,Products!A:A,Products!E:E)</f>
        <v>700</v>
      </c>
      <c r="P359" s="2">
        <f>_xlfn.XLOOKUP(D359,Products!A:A,Products!F:F)</f>
        <v>1500</v>
      </c>
      <c r="Q359" s="11">
        <f t="shared" si="25"/>
        <v>5672.2689075630151</v>
      </c>
      <c r="R359" s="11">
        <f t="shared" si="26"/>
        <v>705.49678695007128</v>
      </c>
      <c r="S359" s="11">
        <f t="shared" si="27"/>
        <v>4966.7721206129436</v>
      </c>
      <c r="T359" s="11">
        <f t="shared" si="28"/>
        <v>2647.0588235294072</v>
      </c>
      <c r="U359" s="11">
        <f t="shared" si="29"/>
        <v>2319.7132970835364</v>
      </c>
    </row>
    <row r="360" spans="1:21" x14ac:dyDescent="0.3">
      <c r="A360" s="2" t="s">
        <v>412</v>
      </c>
      <c r="B360" s="6">
        <v>46132</v>
      </c>
      <c r="C360" s="2" t="s">
        <v>54</v>
      </c>
      <c r="D360" s="2" t="s">
        <v>55</v>
      </c>
      <c r="E360" s="2" t="s">
        <v>38</v>
      </c>
      <c r="F360" s="2" t="s">
        <v>22</v>
      </c>
      <c r="G360" s="2" t="s">
        <v>16</v>
      </c>
      <c r="H360" s="11">
        <v>3.78506602641056</v>
      </c>
      <c r="I360" s="7">
        <v>0.124524369747899</v>
      </c>
      <c r="J360" s="11">
        <v>0.64038415366145995</v>
      </c>
      <c r="K360" s="2" t="s">
        <v>17</v>
      </c>
      <c r="L360" s="2" t="str">
        <f>_xlfn.XLOOKUP(D360,Products!A:A,Products!B:B)</f>
        <v>Sports Shoes</v>
      </c>
      <c r="M360" s="2" t="str">
        <f>_xlfn.XLOOKUP(D360,Products!A:A,Products!C:C)</f>
        <v>Sports</v>
      </c>
      <c r="N360" s="2" t="str">
        <f>_xlfn.XLOOKUP(D360,Products!A:A,Products!D:D)</f>
        <v>Nike</v>
      </c>
      <c r="O360" s="2">
        <f>_xlfn.XLOOKUP(D360,Products!A:A,Products!E:E)</f>
        <v>2200</v>
      </c>
      <c r="P360" s="2">
        <f>_xlfn.XLOOKUP(D360,Products!A:A,Products!F:F)</f>
        <v>4500</v>
      </c>
      <c r="Q360" s="11">
        <f t="shared" si="25"/>
        <v>17032.79711884752</v>
      </c>
      <c r="R360" s="11">
        <f t="shared" si="26"/>
        <v>2120.9983262683177</v>
      </c>
      <c r="S360" s="11">
        <f t="shared" si="27"/>
        <v>14911.798792579202</v>
      </c>
      <c r="T360" s="11">
        <f t="shared" si="28"/>
        <v>8327.1452581032318</v>
      </c>
      <c r="U360" s="11">
        <f t="shared" si="29"/>
        <v>6584.6535344759704</v>
      </c>
    </row>
    <row r="361" spans="1:21" x14ac:dyDescent="0.3">
      <c r="A361" s="2" t="s">
        <v>413</v>
      </c>
      <c r="B361" s="6">
        <v>46132</v>
      </c>
      <c r="C361" s="2" t="s">
        <v>57</v>
      </c>
      <c r="D361" s="2" t="s">
        <v>58</v>
      </c>
      <c r="E361" s="2" t="s">
        <v>44</v>
      </c>
      <c r="F361" s="2" t="s">
        <v>15</v>
      </c>
      <c r="G361" s="2" t="s">
        <v>23</v>
      </c>
      <c r="H361" s="11">
        <v>3.78861944777911</v>
      </c>
      <c r="I361" s="7">
        <v>0.124672268907563</v>
      </c>
      <c r="J361" s="11">
        <v>0.62833133253300899</v>
      </c>
      <c r="K361" s="2" t="s">
        <v>17</v>
      </c>
      <c r="L361" s="2" t="str">
        <f>_xlfn.XLOOKUP(D361,Products!A:A,Products!B:B)</f>
        <v>Study Table</v>
      </c>
      <c r="M361" s="2" t="str">
        <f>_xlfn.XLOOKUP(D361,Products!A:A,Products!C:C)</f>
        <v>Furniture</v>
      </c>
      <c r="N361" s="2" t="str">
        <f>_xlfn.XLOOKUP(D361,Products!A:A,Products!D:D)</f>
        <v>Ikea</v>
      </c>
      <c r="O361" s="2">
        <f>_xlfn.XLOOKUP(D361,Products!A:A,Products!E:E)</f>
        <v>5000</v>
      </c>
      <c r="P361" s="2">
        <f>_xlfn.XLOOKUP(D361,Products!A:A,Products!F:F)</f>
        <v>8500</v>
      </c>
      <c r="Q361" s="11">
        <f t="shared" si="25"/>
        <v>32203.265306122434</v>
      </c>
      <c r="R361" s="11">
        <f t="shared" si="26"/>
        <v>4014.8541519464902</v>
      </c>
      <c r="S361" s="11">
        <f t="shared" si="27"/>
        <v>28188.411154175945</v>
      </c>
      <c r="T361" s="11">
        <f t="shared" si="28"/>
        <v>18943.097238895549</v>
      </c>
      <c r="U361" s="11">
        <f t="shared" si="29"/>
        <v>9245.313915280396</v>
      </c>
    </row>
    <row r="362" spans="1:21" x14ac:dyDescent="0.3">
      <c r="A362" s="2" t="s">
        <v>414</v>
      </c>
      <c r="B362" s="6">
        <v>46133</v>
      </c>
      <c r="C362" s="2" t="s">
        <v>60</v>
      </c>
      <c r="D362" s="2" t="s">
        <v>13</v>
      </c>
      <c r="E362" s="2" t="s">
        <v>14</v>
      </c>
      <c r="F362" s="2" t="s">
        <v>39</v>
      </c>
      <c r="G362" s="2" t="s">
        <v>16</v>
      </c>
      <c r="H362" s="11">
        <v>3.7921728691476599</v>
      </c>
      <c r="I362" s="7">
        <v>0.124820168067227</v>
      </c>
      <c r="J362" s="11">
        <v>0.61627851140456003</v>
      </c>
      <c r="K362" s="2" t="s">
        <v>17</v>
      </c>
      <c r="L362" s="2" t="str">
        <f>_xlfn.XLOOKUP(D362,Products!A:A,Products!B:B)</f>
        <v>Laptop</v>
      </c>
      <c r="M362" s="2" t="str">
        <f>_xlfn.XLOOKUP(D362,Products!A:A,Products!C:C)</f>
        <v>Electronics</v>
      </c>
      <c r="N362" s="2" t="str">
        <f>_xlfn.XLOOKUP(D362,Products!A:A,Products!D:D)</f>
        <v>HP</v>
      </c>
      <c r="O362" s="2">
        <f>_xlfn.XLOOKUP(D362,Products!A:A,Products!E:E)</f>
        <v>42000</v>
      </c>
      <c r="P362" s="2">
        <f>_xlfn.XLOOKUP(D362,Products!A:A,Products!F:F)</f>
        <v>55000</v>
      </c>
      <c r="Q362" s="11">
        <f t="shared" si="25"/>
        <v>208569.50780312129</v>
      </c>
      <c r="R362" s="11">
        <f t="shared" si="26"/>
        <v>26033.681017684412</v>
      </c>
      <c r="S362" s="11">
        <f t="shared" si="27"/>
        <v>182535.82678543689</v>
      </c>
      <c r="T362" s="11">
        <f t="shared" si="28"/>
        <v>159271.26050420172</v>
      </c>
      <c r="U362" s="11">
        <f t="shared" si="29"/>
        <v>23264.566281235166</v>
      </c>
    </row>
    <row r="363" spans="1:21" x14ac:dyDescent="0.3">
      <c r="A363" s="2" t="s">
        <v>415</v>
      </c>
      <c r="B363" s="6">
        <v>46133</v>
      </c>
      <c r="C363" s="2" t="s">
        <v>62</v>
      </c>
      <c r="D363" s="2" t="s">
        <v>20</v>
      </c>
      <c r="E363" s="2" t="s">
        <v>27</v>
      </c>
      <c r="F363" s="2" t="s">
        <v>15</v>
      </c>
      <c r="G363" s="2" t="s">
        <v>29</v>
      </c>
      <c r="H363" s="11">
        <v>3.7957262905162001</v>
      </c>
      <c r="I363" s="7">
        <v>0.12496806722689099</v>
      </c>
      <c r="J363" s="11">
        <v>0.60422569027610995</v>
      </c>
      <c r="K363" s="2" t="s">
        <v>17</v>
      </c>
      <c r="L363" s="2" t="str">
        <f>_xlfn.XLOOKUP(D363,Products!A:A,Products!B:B)</f>
        <v>Jeans</v>
      </c>
      <c r="M363" s="2" t="str">
        <f>_xlfn.XLOOKUP(D363,Products!A:A,Products!C:C)</f>
        <v>Clothing</v>
      </c>
      <c r="N363" s="2" t="str">
        <f>_xlfn.XLOOKUP(D363,Products!A:A,Products!D:D)</f>
        <v>Wrangler</v>
      </c>
      <c r="O363" s="2">
        <f>_xlfn.XLOOKUP(D363,Products!A:A,Products!E:E)</f>
        <v>1100</v>
      </c>
      <c r="P363" s="2">
        <f>_xlfn.XLOOKUP(D363,Products!A:A,Products!F:F)</f>
        <v>2200</v>
      </c>
      <c r="Q363" s="11">
        <f t="shared" si="25"/>
        <v>8350.5978391356402</v>
      </c>
      <c r="R363" s="11">
        <f t="shared" si="26"/>
        <v>1043.5580721458334</v>
      </c>
      <c r="S363" s="11">
        <f t="shared" si="27"/>
        <v>7307.0397669898066</v>
      </c>
      <c r="T363" s="11">
        <f t="shared" si="28"/>
        <v>4175.2989195678201</v>
      </c>
      <c r="U363" s="11">
        <f t="shared" si="29"/>
        <v>3131.7408474219865</v>
      </c>
    </row>
    <row r="364" spans="1:21" x14ac:dyDescent="0.3">
      <c r="A364" s="2" t="s">
        <v>416</v>
      </c>
      <c r="B364" s="6">
        <v>46134</v>
      </c>
      <c r="C364" s="2" t="s">
        <v>64</v>
      </c>
      <c r="D364" s="2" t="s">
        <v>26</v>
      </c>
      <c r="E364" s="2" t="s">
        <v>21</v>
      </c>
      <c r="F364" s="2" t="s">
        <v>41</v>
      </c>
      <c r="G364" s="2" t="s">
        <v>23</v>
      </c>
      <c r="H364" s="11">
        <v>3.7992797118847501</v>
      </c>
      <c r="I364" s="7">
        <v>0.12511596638655501</v>
      </c>
      <c r="J364" s="11">
        <v>0.59217286914765899</v>
      </c>
      <c r="K364" s="2" t="s">
        <v>17</v>
      </c>
      <c r="L364" s="2" t="str">
        <f>_xlfn.XLOOKUP(D364,Products!A:A,Products!B:B)</f>
        <v>Face Wash</v>
      </c>
      <c r="M364" s="2" t="str">
        <f>_xlfn.XLOOKUP(D364,Products!A:A,Products!C:C)</f>
        <v>Beauty</v>
      </c>
      <c r="N364" s="2" t="str">
        <f>_xlfn.XLOOKUP(D364,Products!A:A,Products!D:D)</f>
        <v>Nivea</v>
      </c>
      <c r="O364" s="2">
        <f>_xlfn.XLOOKUP(D364,Products!A:A,Products!E:E)</f>
        <v>180</v>
      </c>
      <c r="P364" s="2">
        <f>_xlfn.XLOOKUP(D364,Products!A:A,Products!F:F)</f>
        <v>350</v>
      </c>
      <c r="Q364" s="11">
        <f t="shared" si="25"/>
        <v>1329.7478991596624</v>
      </c>
      <c r="R364" s="11">
        <f t="shared" si="26"/>
        <v>166.37269345385246</v>
      </c>
      <c r="S364" s="11">
        <f t="shared" si="27"/>
        <v>1163.37520570581</v>
      </c>
      <c r="T364" s="11">
        <f t="shared" si="28"/>
        <v>683.87034813925504</v>
      </c>
      <c r="U364" s="11">
        <f t="shared" si="29"/>
        <v>479.50485756655496</v>
      </c>
    </row>
    <row r="365" spans="1:21" x14ac:dyDescent="0.3">
      <c r="A365" s="2" t="s">
        <v>417</v>
      </c>
      <c r="B365" s="6">
        <v>46134</v>
      </c>
      <c r="C365" s="2" t="s">
        <v>66</v>
      </c>
      <c r="D365" s="2" t="s">
        <v>37</v>
      </c>
      <c r="E365" s="2" t="s">
        <v>38</v>
      </c>
      <c r="F365" s="2" t="s">
        <v>22</v>
      </c>
      <c r="G365" s="2" t="s">
        <v>16</v>
      </c>
      <c r="H365" s="11">
        <v>3.8028331332533001</v>
      </c>
      <c r="I365" s="7">
        <v>0.12526386554621899</v>
      </c>
      <c r="J365" s="11">
        <v>0.58012004801921002</v>
      </c>
      <c r="K365" s="2" t="s">
        <v>30</v>
      </c>
      <c r="L365" s="2" t="str">
        <f>_xlfn.XLOOKUP(D365,Products!A:A,Products!B:B)</f>
        <v>Headphones</v>
      </c>
      <c r="M365" s="2" t="str">
        <f>_xlfn.XLOOKUP(D365,Products!A:A,Products!C:C)</f>
        <v>Electronics</v>
      </c>
      <c r="N365" s="2" t="str">
        <f>_xlfn.XLOOKUP(D365,Products!A:A,Products!D:D)</f>
        <v>Sony</v>
      </c>
      <c r="O365" s="2">
        <f>_xlfn.XLOOKUP(D365,Products!A:A,Products!E:E)</f>
        <v>1800</v>
      </c>
      <c r="P365" s="2">
        <f>_xlfn.XLOOKUP(D365,Products!A:A,Products!F:F)</f>
        <v>3200</v>
      </c>
      <c r="Q365" s="11">
        <f t="shared" si="25"/>
        <v>12169.066026410561</v>
      </c>
      <c r="R365" s="11">
        <f t="shared" si="26"/>
        <v>1524.3442505553539</v>
      </c>
      <c r="S365" s="11">
        <f t="shared" si="27"/>
        <v>10644.721775855207</v>
      </c>
      <c r="T365" s="11">
        <f t="shared" si="28"/>
        <v>6845.09963985594</v>
      </c>
      <c r="U365" s="11">
        <f t="shared" si="29"/>
        <v>3799.6221359992669</v>
      </c>
    </row>
    <row r="366" spans="1:21" x14ac:dyDescent="0.3">
      <c r="A366" s="2" t="s">
        <v>418</v>
      </c>
      <c r="B366" s="6">
        <v>46135</v>
      </c>
      <c r="C366" s="2" t="s">
        <v>68</v>
      </c>
      <c r="D366" s="2" t="s">
        <v>40</v>
      </c>
      <c r="E366" s="2" t="s">
        <v>44</v>
      </c>
      <c r="F366" s="2" t="s">
        <v>15</v>
      </c>
      <c r="G366" s="2" t="s">
        <v>42</v>
      </c>
      <c r="H366" s="11">
        <v>3.80638655462185</v>
      </c>
      <c r="I366" s="7">
        <v>0.125411764705882</v>
      </c>
      <c r="J366" s="11">
        <v>0.56806722689075995</v>
      </c>
      <c r="K366" s="2" t="s">
        <v>17</v>
      </c>
      <c r="L366" s="2" t="str">
        <f>_xlfn.XLOOKUP(D366,Products!A:A,Products!B:B)</f>
        <v>Office Chair</v>
      </c>
      <c r="M366" s="2" t="str">
        <f>_xlfn.XLOOKUP(D366,Products!A:A,Products!C:C)</f>
        <v>Furniture</v>
      </c>
      <c r="N366" s="2" t="str">
        <f>_xlfn.XLOOKUP(D366,Products!A:A,Products!D:D)</f>
        <v>Featherlite</v>
      </c>
      <c r="O366" s="2">
        <f>_xlfn.XLOOKUP(D366,Products!A:A,Products!E:E)</f>
        <v>4500</v>
      </c>
      <c r="P366" s="2">
        <f>_xlfn.XLOOKUP(D366,Products!A:A,Products!F:F)</f>
        <v>7500</v>
      </c>
      <c r="Q366" s="11">
        <f t="shared" si="25"/>
        <v>28547.899159663877</v>
      </c>
      <c r="R366" s="11">
        <f t="shared" si="26"/>
        <v>3580.2424122590128</v>
      </c>
      <c r="S366" s="11">
        <f t="shared" si="27"/>
        <v>24967.656747404864</v>
      </c>
      <c r="T366" s="11">
        <f t="shared" si="28"/>
        <v>17128.739495798327</v>
      </c>
      <c r="U366" s="11">
        <f t="shared" si="29"/>
        <v>7838.9172516065373</v>
      </c>
    </row>
    <row r="367" spans="1:21" x14ac:dyDescent="0.3">
      <c r="A367" s="2" t="s">
        <v>419</v>
      </c>
      <c r="B367" s="6">
        <v>46135</v>
      </c>
      <c r="C367" s="2" t="s">
        <v>12</v>
      </c>
      <c r="D367" s="2" t="s">
        <v>47</v>
      </c>
      <c r="E367" s="2" t="s">
        <v>14</v>
      </c>
      <c r="F367" s="2" t="s">
        <v>52</v>
      </c>
      <c r="G367" s="2" t="s">
        <v>16</v>
      </c>
      <c r="H367" s="11">
        <v>3.8099399759903898</v>
      </c>
      <c r="I367" s="7">
        <v>0.12555966386554601</v>
      </c>
      <c r="J367" s="11">
        <v>0.55601440576229999</v>
      </c>
      <c r="K367" s="2" t="s">
        <v>17</v>
      </c>
      <c r="L367" s="2" t="str">
        <f>_xlfn.XLOOKUP(D367,Products!A:A,Products!B:B)</f>
        <v>Mixer Grinder</v>
      </c>
      <c r="M367" s="2" t="str">
        <f>_xlfn.XLOOKUP(D367,Products!A:A,Products!C:C)</f>
        <v>Home Appliances</v>
      </c>
      <c r="N367" s="2" t="str">
        <f>_xlfn.XLOOKUP(D367,Products!A:A,Products!D:D)</f>
        <v>Philips</v>
      </c>
      <c r="O367" s="2">
        <f>_xlfn.XLOOKUP(D367,Products!A:A,Products!E:E)</f>
        <v>2800</v>
      </c>
      <c r="P367" s="2">
        <f>_xlfn.XLOOKUP(D367,Products!A:A,Products!F:F)</f>
        <v>4800</v>
      </c>
      <c r="Q367" s="11">
        <f t="shared" si="25"/>
        <v>18287.71188475387</v>
      </c>
      <c r="R367" s="11">
        <f t="shared" si="26"/>
        <v>2296.1989571196468</v>
      </c>
      <c r="S367" s="11">
        <f t="shared" si="27"/>
        <v>15991.512927634223</v>
      </c>
      <c r="T367" s="11">
        <f t="shared" si="28"/>
        <v>10667.831932773091</v>
      </c>
      <c r="U367" s="11">
        <f t="shared" si="29"/>
        <v>5323.6809948611317</v>
      </c>
    </row>
    <row r="368" spans="1:21" x14ac:dyDescent="0.3">
      <c r="A368" s="2" t="s">
        <v>420</v>
      </c>
      <c r="B368" s="6">
        <v>46136</v>
      </c>
      <c r="C368" s="2" t="s">
        <v>19</v>
      </c>
      <c r="D368" s="2" t="s">
        <v>43</v>
      </c>
      <c r="E368" s="2" t="s">
        <v>27</v>
      </c>
      <c r="F368" s="2" t="s">
        <v>22</v>
      </c>
      <c r="G368" s="2" t="s">
        <v>23</v>
      </c>
      <c r="H368" s="11">
        <v>3.8134933973589402</v>
      </c>
      <c r="I368" s="7">
        <v>0.12570756302521</v>
      </c>
      <c r="J368" s="11">
        <v>0.54396158463384903</v>
      </c>
      <c r="K368" s="2" t="s">
        <v>17</v>
      </c>
      <c r="L368" s="2" t="str">
        <f>_xlfn.XLOOKUP(D368,Products!A:A,Products!B:B)</f>
        <v>Smartphone</v>
      </c>
      <c r="M368" s="2" t="str">
        <f>_xlfn.XLOOKUP(D368,Products!A:A,Products!C:C)</f>
        <v>Electronics</v>
      </c>
      <c r="N368" s="2" t="str">
        <f>_xlfn.XLOOKUP(D368,Products!A:A,Products!D:D)</f>
        <v>Samsung</v>
      </c>
      <c r="O368" s="2">
        <f>_xlfn.XLOOKUP(D368,Products!A:A,Products!E:E)</f>
        <v>14000</v>
      </c>
      <c r="P368" s="2">
        <f>_xlfn.XLOOKUP(D368,Products!A:A,Products!F:F)</f>
        <v>22000</v>
      </c>
      <c r="Q368" s="11">
        <f t="shared" si="25"/>
        <v>83896.854741896692</v>
      </c>
      <c r="R368" s="11">
        <f t="shared" si="26"/>
        <v>10546.469155083867</v>
      </c>
      <c r="S368" s="11">
        <f t="shared" si="27"/>
        <v>73350.38558681283</v>
      </c>
      <c r="T368" s="11">
        <f t="shared" si="28"/>
        <v>53388.907563025161</v>
      </c>
      <c r="U368" s="11">
        <f t="shared" si="29"/>
        <v>19961.478023787669</v>
      </c>
    </row>
    <row r="369" spans="1:21" x14ac:dyDescent="0.3">
      <c r="A369" s="2" t="s">
        <v>421</v>
      </c>
      <c r="B369" s="6">
        <v>46136</v>
      </c>
      <c r="C369" s="2" t="s">
        <v>25</v>
      </c>
      <c r="D369" s="2" t="s">
        <v>51</v>
      </c>
      <c r="E369" s="2" t="s">
        <v>21</v>
      </c>
      <c r="F369" s="2" t="s">
        <v>15</v>
      </c>
      <c r="G369" s="2" t="s">
        <v>29</v>
      </c>
      <c r="H369" s="11">
        <v>3.8170468187274902</v>
      </c>
      <c r="I369" s="7">
        <v>0.12585546218487401</v>
      </c>
      <c r="J369" s="11">
        <v>0.53190876350539995</v>
      </c>
      <c r="K369" s="2" t="s">
        <v>17</v>
      </c>
      <c r="L369" s="2" t="str">
        <f>_xlfn.XLOOKUP(D369,Products!A:A,Products!B:B)</f>
        <v>Shirt</v>
      </c>
      <c r="M369" s="2" t="str">
        <f>_xlfn.XLOOKUP(D369,Products!A:A,Products!C:C)</f>
        <v>Clothing</v>
      </c>
      <c r="N369" s="2" t="str">
        <f>_xlfn.XLOOKUP(D369,Products!A:A,Products!D:D)</f>
        <v>Levis</v>
      </c>
      <c r="O369" s="2">
        <f>_xlfn.XLOOKUP(D369,Products!A:A,Products!E:E)</f>
        <v>700</v>
      </c>
      <c r="P369" s="2">
        <f>_xlfn.XLOOKUP(D369,Products!A:A,Products!F:F)</f>
        <v>1500</v>
      </c>
      <c r="Q369" s="11">
        <f t="shared" si="25"/>
        <v>5725.5702280912355</v>
      </c>
      <c r="R369" s="11">
        <f t="shared" si="26"/>
        <v>720.59428732837694</v>
      </c>
      <c r="S369" s="11">
        <f t="shared" si="27"/>
        <v>5004.975940762859</v>
      </c>
      <c r="T369" s="11">
        <f t="shared" si="28"/>
        <v>2671.932773109243</v>
      </c>
      <c r="U369" s="11">
        <f t="shared" si="29"/>
        <v>2333.0431676536159</v>
      </c>
    </row>
    <row r="370" spans="1:21" x14ac:dyDescent="0.3">
      <c r="A370" s="2" t="s">
        <v>422</v>
      </c>
      <c r="B370" s="6">
        <v>46137</v>
      </c>
      <c r="C370" s="2" t="s">
        <v>32</v>
      </c>
      <c r="D370" s="2" t="s">
        <v>55</v>
      </c>
      <c r="E370" s="2" t="s">
        <v>38</v>
      </c>
      <c r="F370" s="2" t="s">
        <v>39</v>
      </c>
      <c r="G370" s="2" t="s">
        <v>16</v>
      </c>
      <c r="H370" s="11">
        <v>3.8206002400960299</v>
      </c>
      <c r="I370" s="7">
        <v>0.12600336134453799</v>
      </c>
      <c r="J370" s="11">
        <v>0.51985594237694999</v>
      </c>
      <c r="K370" s="2" t="s">
        <v>17</v>
      </c>
      <c r="L370" s="2" t="str">
        <f>_xlfn.XLOOKUP(D370,Products!A:A,Products!B:B)</f>
        <v>Sports Shoes</v>
      </c>
      <c r="M370" s="2" t="str">
        <f>_xlfn.XLOOKUP(D370,Products!A:A,Products!C:C)</f>
        <v>Sports</v>
      </c>
      <c r="N370" s="2" t="str">
        <f>_xlfn.XLOOKUP(D370,Products!A:A,Products!D:D)</f>
        <v>Nike</v>
      </c>
      <c r="O370" s="2">
        <f>_xlfn.XLOOKUP(D370,Products!A:A,Products!E:E)</f>
        <v>2200</v>
      </c>
      <c r="P370" s="2">
        <f>_xlfn.XLOOKUP(D370,Products!A:A,Products!F:F)</f>
        <v>4500</v>
      </c>
      <c r="Q370" s="11">
        <f t="shared" si="25"/>
        <v>17192.701080432136</v>
      </c>
      <c r="R370" s="11">
        <f t="shared" si="26"/>
        <v>2166.3381267263194</v>
      </c>
      <c r="S370" s="11">
        <f t="shared" si="27"/>
        <v>15026.362953705817</v>
      </c>
      <c r="T370" s="11">
        <f t="shared" si="28"/>
        <v>8405.3205282112667</v>
      </c>
      <c r="U370" s="11">
        <f t="shared" si="29"/>
        <v>6621.0424254945501</v>
      </c>
    </row>
    <row r="371" spans="1:21" x14ac:dyDescent="0.3">
      <c r="A371" s="2" t="s">
        <v>423</v>
      </c>
      <c r="B371" s="6">
        <v>46137</v>
      </c>
      <c r="C371" s="2" t="s">
        <v>34</v>
      </c>
      <c r="D371" s="2" t="s">
        <v>58</v>
      </c>
      <c r="E371" s="2" t="s">
        <v>44</v>
      </c>
      <c r="F371" s="2" t="s">
        <v>41</v>
      </c>
      <c r="G371" s="2" t="s">
        <v>23</v>
      </c>
      <c r="H371" s="11">
        <v>3.8241536614645799</v>
      </c>
      <c r="I371" s="7">
        <v>0.126151260504202</v>
      </c>
      <c r="J371" s="11">
        <v>0.50780312124849902</v>
      </c>
      <c r="K371" s="2" t="s">
        <v>30</v>
      </c>
      <c r="L371" s="2" t="str">
        <f>_xlfn.XLOOKUP(D371,Products!A:A,Products!B:B)</f>
        <v>Study Table</v>
      </c>
      <c r="M371" s="2" t="str">
        <f>_xlfn.XLOOKUP(D371,Products!A:A,Products!C:C)</f>
        <v>Furniture</v>
      </c>
      <c r="N371" s="2" t="str">
        <f>_xlfn.XLOOKUP(D371,Products!A:A,Products!D:D)</f>
        <v>Ikea</v>
      </c>
      <c r="O371" s="2">
        <f>_xlfn.XLOOKUP(D371,Products!A:A,Products!E:E)</f>
        <v>5000</v>
      </c>
      <c r="P371" s="2">
        <f>_xlfn.XLOOKUP(D371,Products!A:A,Products!F:F)</f>
        <v>8500</v>
      </c>
      <c r="Q371" s="11">
        <f t="shared" si="25"/>
        <v>32505.306122448928</v>
      </c>
      <c r="R371" s="11">
        <f t="shared" si="26"/>
        <v>4100.5853404218869</v>
      </c>
      <c r="S371" s="11">
        <f t="shared" si="27"/>
        <v>28404.720782027041</v>
      </c>
      <c r="T371" s="11">
        <f t="shared" si="28"/>
        <v>19120.768307322898</v>
      </c>
      <c r="U371" s="11">
        <f t="shared" si="29"/>
        <v>9283.9524747041432</v>
      </c>
    </row>
    <row r="372" spans="1:21" x14ac:dyDescent="0.3">
      <c r="A372" s="2" t="s">
        <v>424</v>
      </c>
      <c r="B372" s="6">
        <v>46113</v>
      </c>
      <c r="C372" s="2" t="s">
        <v>12</v>
      </c>
      <c r="D372" s="2" t="s">
        <v>13</v>
      </c>
      <c r="E372" s="2" t="s">
        <v>14</v>
      </c>
      <c r="F372" s="2" t="s">
        <v>15</v>
      </c>
      <c r="G372" s="2" t="s">
        <v>16</v>
      </c>
      <c r="H372" s="11">
        <v>3.8277070828331299</v>
      </c>
      <c r="I372" s="7">
        <v>0.12629915966386601</v>
      </c>
      <c r="J372" s="11">
        <v>0.49575030012005</v>
      </c>
      <c r="K372" s="2" t="s">
        <v>17</v>
      </c>
      <c r="L372" s="2" t="str">
        <f>_xlfn.XLOOKUP(D372,Products!A:A,Products!B:B)</f>
        <v>Laptop</v>
      </c>
      <c r="M372" s="2" t="str">
        <f>_xlfn.XLOOKUP(D372,Products!A:A,Products!C:C)</f>
        <v>Electronics</v>
      </c>
      <c r="N372" s="2" t="str">
        <f>_xlfn.XLOOKUP(D372,Products!A:A,Products!D:D)</f>
        <v>HP</v>
      </c>
      <c r="O372" s="2">
        <f>_xlfn.XLOOKUP(D372,Products!A:A,Products!E:E)</f>
        <v>42000</v>
      </c>
      <c r="P372" s="2">
        <f>_xlfn.XLOOKUP(D372,Products!A:A,Products!F:F)</f>
        <v>55000</v>
      </c>
      <c r="Q372" s="11">
        <f t="shared" si="25"/>
        <v>210523.88955582216</v>
      </c>
      <c r="R372" s="11">
        <f t="shared" si="26"/>
        <v>26588.990340068878</v>
      </c>
      <c r="S372" s="11">
        <f t="shared" si="27"/>
        <v>183934.89921575328</v>
      </c>
      <c r="T372" s="11">
        <f t="shared" si="28"/>
        <v>160763.69747899147</v>
      </c>
      <c r="U372" s="11">
        <f t="shared" si="29"/>
        <v>23171.20173676181</v>
      </c>
    </row>
    <row r="373" spans="1:21" x14ac:dyDescent="0.3">
      <c r="A373" s="2" t="s">
        <v>425</v>
      </c>
      <c r="B373" s="6">
        <v>46113</v>
      </c>
      <c r="C373" s="2" t="s">
        <v>19</v>
      </c>
      <c r="D373" s="2" t="s">
        <v>20</v>
      </c>
      <c r="E373" s="2" t="s">
        <v>21</v>
      </c>
      <c r="F373" s="2" t="s">
        <v>22</v>
      </c>
      <c r="G373" s="2" t="s">
        <v>23</v>
      </c>
      <c r="H373" s="11">
        <v>3.8312605042016799</v>
      </c>
      <c r="I373" s="7">
        <v>0.126447058823529</v>
      </c>
      <c r="J373" s="11">
        <v>0.48369747899159998</v>
      </c>
      <c r="K373" s="2" t="s">
        <v>17</v>
      </c>
      <c r="L373" s="2" t="str">
        <f>_xlfn.XLOOKUP(D373,Products!A:A,Products!B:B)</f>
        <v>Jeans</v>
      </c>
      <c r="M373" s="2" t="str">
        <f>_xlfn.XLOOKUP(D373,Products!A:A,Products!C:C)</f>
        <v>Clothing</v>
      </c>
      <c r="N373" s="2" t="str">
        <f>_xlfn.XLOOKUP(D373,Products!A:A,Products!D:D)</f>
        <v>Wrangler</v>
      </c>
      <c r="O373" s="2">
        <f>_xlfn.XLOOKUP(D373,Products!A:A,Products!E:E)</f>
        <v>1100</v>
      </c>
      <c r="P373" s="2">
        <f>_xlfn.XLOOKUP(D373,Products!A:A,Products!F:F)</f>
        <v>2200</v>
      </c>
      <c r="Q373" s="11">
        <f t="shared" si="25"/>
        <v>8428.7731092436952</v>
      </c>
      <c r="R373" s="11">
        <f t="shared" si="26"/>
        <v>1065.793569154717</v>
      </c>
      <c r="S373" s="11">
        <f t="shared" si="27"/>
        <v>7362.979540088978</v>
      </c>
      <c r="T373" s="11">
        <f t="shared" si="28"/>
        <v>4214.3865546218476</v>
      </c>
      <c r="U373" s="11">
        <f t="shared" si="29"/>
        <v>3148.5929854671303</v>
      </c>
    </row>
    <row r="374" spans="1:21" x14ac:dyDescent="0.3">
      <c r="A374" s="2" t="s">
        <v>426</v>
      </c>
      <c r="B374" s="6">
        <v>46114</v>
      </c>
      <c r="C374" s="2" t="s">
        <v>25</v>
      </c>
      <c r="D374" s="2" t="s">
        <v>26</v>
      </c>
      <c r="E374" s="2" t="s">
        <v>27</v>
      </c>
      <c r="F374" s="2" t="s">
        <v>28</v>
      </c>
      <c r="G374" s="2" t="s">
        <v>29</v>
      </c>
      <c r="H374" s="11">
        <v>3.8348139255702201</v>
      </c>
      <c r="I374" s="7">
        <v>0.12659495798319301</v>
      </c>
      <c r="J374" s="11">
        <v>0.47164465786313903</v>
      </c>
      <c r="K374" s="2" t="s">
        <v>30</v>
      </c>
      <c r="L374" s="2" t="str">
        <f>_xlfn.XLOOKUP(D374,Products!A:A,Products!B:B)</f>
        <v>Face Wash</v>
      </c>
      <c r="M374" s="2" t="str">
        <f>_xlfn.XLOOKUP(D374,Products!A:A,Products!C:C)</f>
        <v>Beauty</v>
      </c>
      <c r="N374" s="2" t="str">
        <f>_xlfn.XLOOKUP(D374,Products!A:A,Products!D:D)</f>
        <v>Nivea</v>
      </c>
      <c r="O374" s="2">
        <f>_xlfn.XLOOKUP(D374,Products!A:A,Products!E:E)</f>
        <v>180</v>
      </c>
      <c r="P374" s="2">
        <f>_xlfn.XLOOKUP(D374,Products!A:A,Products!F:F)</f>
        <v>350</v>
      </c>
      <c r="Q374" s="11">
        <f t="shared" si="25"/>
        <v>1342.184873949577</v>
      </c>
      <c r="R374" s="11">
        <f t="shared" si="26"/>
        <v>169.91383772332389</v>
      </c>
      <c r="S374" s="11">
        <f t="shared" si="27"/>
        <v>1172.271036226253</v>
      </c>
      <c r="T374" s="11">
        <f t="shared" si="28"/>
        <v>690.26650660263965</v>
      </c>
      <c r="U374" s="11">
        <f t="shared" si="29"/>
        <v>482.00452962361339</v>
      </c>
    </row>
    <row r="375" spans="1:21" x14ac:dyDescent="0.3">
      <c r="A375" s="4" t="s">
        <v>427</v>
      </c>
      <c r="B375" s="5">
        <v>46114</v>
      </c>
      <c r="C375" s="4" t="s">
        <v>32</v>
      </c>
      <c r="D375" s="4" t="s">
        <v>37</v>
      </c>
      <c r="E375" s="4" t="s">
        <v>38</v>
      </c>
      <c r="F375" s="4" t="s">
        <v>39</v>
      </c>
      <c r="G375" s="4" t="s">
        <v>16</v>
      </c>
      <c r="H375" s="12">
        <v>3.83836734693877</v>
      </c>
      <c r="I375" s="8">
        <v>0.12674285714285699</v>
      </c>
      <c r="J375" s="12">
        <v>0.45959183673468901</v>
      </c>
      <c r="K375" s="4" t="s">
        <v>17</v>
      </c>
      <c r="L375" s="2" t="str">
        <f>_xlfn.XLOOKUP(D375,Products!A:A,Products!B:B)</f>
        <v>Headphones</v>
      </c>
      <c r="M375" s="2" t="str">
        <f>_xlfn.XLOOKUP(D375,Products!A:A,Products!C:C)</f>
        <v>Electronics</v>
      </c>
      <c r="N375" s="2" t="str">
        <f>_xlfn.XLOOKUP(D375,Products!A:A,Products!D:D)</f>
        <v>Sony</v>
      </c>
      <c r="O375" s="2">
        <f>_xlfn.XLOOKUP(D375,Products!A:A,Products!E:E)</f>
        <v>1800</v>
      </c>
      <c r="P375" s="2">
        <f>_xlfn.XLOOKUP(D375,Products!A:A,Products!F:F)</f>
        <v>3200</v>
      </c>
      <c r="Q375" s="11">
        <f t="shared" si="25"/>
        <v>12282.775510204065</v>
      </c>
      <c r="R375" s="11">
        <f t="shared" si="26"/>
        <v>1556.7540618075761</v>
      </c>
      <c r="S375" s="11">
        <f t="shared" si="27"/>
        <v>10726.021448396488</v>
      </c>
      <c r="T375" s="11">
        <f t="shared" si="28"/>
        <v>6909.0612244897857</v>
      </c>
      <c r="U375" s="11">
        <f t="shared" si="29"/>
        <v>3816.9602239067026</v>
      </c>
    </row>
    <row r="376" spans="1:21" x14ac:dyDescent="0.3">
      <c r="A376" s="1" t="s">
        <v>428</v>
      </c>
      <c r="B376" s="9">
        <v>46115</v>
      </c>
      <c r="C376" s="1" t="s">
        <v>34</v>
      </c>
      <c r="D376" s="1" t="s">
        <v>40</v>
      </c>
      <c r="E376" s="1" t="s">
        <v>14</v>
      </c>
      <c r="F376" s="1" t="s">
        <v>41</v>
      </c>
      <c r="G376" s="1" t="s">
        <v>42</v>
      </c>
      <c r="H376" s="13">
        <v>3.84192076830732</v>
      </c>
      <c r="I376" s="10">
        <v>0.126890756302521</v>
      </c>
      <c r="J376" s="13">
        <v>0.44753901560623999</v>
      </c>
      <c r="K376" s="10" t="s">
        <v>17</v>
      </c>
      <c r="L376" s="2" t="str">
        <f>_xlfn.XLOOKUP(D376,Products!A:A,Products!B:B)</f>
        <v>Office Chair</v>
      </c>
      <c r="M376" s="2" t="str">
        <f>_xlfn.XLOOKUP(D376,Products!A:A,Products!C:C)</f>
        <v>Furniture</v>
      </c>
      <c r="N376" s="2" t="str">
        <f>_xlfn.XLOOKUP(D376,Products!A:A,Products!D:D)</f>
        <v>Featherlite</v>
      </c>
      <c r="O376" s="2">
        <f>_xlfn.XLOOKUP(D376,Products!A:A,Products!E:E)</f>
        <v>4500</v>
      </c>
      <c r="P376" s="2">
        <f>_xlfn.XLOOKUP(D376,Products!A:A,Products!F:F)</f>
        <v>7500</v>
      </c>
      <c r="Q376" s="11">
        <f t="shared" si="25"/>
        <v>28814.405762304901</v>
      </c>
      <c r="R376" s="11">
        <f t="shared" si="26"/>
        <v>3656.2817395865882</v>
      </c>
      <c r="S376" s="11">
        <f t="shared" si="27"/>
        <v>25158.124022718312</v>
      </c>
      <c r="T376" s="11">
        <f t="shared" si="28"/>
        <v>17288.643457382939</v>
      </c>
      <c r="U376" s="11">
        <f t="shared" si="29"/>
        <v>7869.4805653353724</v>
      </c>
    </row>
    <row r="377" spans="1:21" x14ac:dyDescent="0.3">
      <c r="A377" s="1" t="s">
        <v>429</v>
      </c>
      <c r="B377" s="9">
        <v>46115</v>
      </c>
      <c r="C377" s="1" t="s">
        <v>36</v>
      </c>
      <c r="D377" s="1" t="s">
        <v>43</v>
      </c>
      <c r="E377" s="1" t="s">
        <v>44</v>
      </c>
      <c r="F377" s="1" t="s">
        <v>15</v>
      </c>
      <c r="G377" s="1" t="s">
        <v>23</v>
      </c>
      <c r="H377" s="13">
        <v>3.84547418967587</v>
      </c>
      <c r="I377" s="10">
        <v>0.12703865546218501</v>
      </c>
      <c r="J377" s="13">
        <v>0.43548619447778902</v>
      </c>
      <c r="K377" s="10" t="s">
        <v>17</v>
      </c>
      <c r="L377" s="2" t="str">
        <f>_xlfn.XLOOKUP(D377,Products!A:A,Products!B:B)</f>
        <v>Smartphone</v>
      </c>
      <c r="M377" s="2" t="str">
        <f>_xlfn.XLOOKUP(D377,Products!A:A,Products!C:C)</f>
        <v>Electronics</v>
      </c>
      <c r="N377" s="2" t="str">
        <f>_xlfn.XLOOKUP(D377,Products!A:A,Products!D:D)</f>
        <v>Samsung</v>
      </c>
      <c r="O377" s="2">
        <f>_xlfn.XLOOKUP(D377,Products!A:A,Products!E:E)</f>
        <v>14000</v>
      </c>
      <c r="P377" s="2">
        <f>_xlfn.XLOOKUP(D377,Products!A:A,Products!F:F)</f>
        <v>22000</v>
      </c>
      <c r="Q377" s="11">
        <f t="shared" si="25"/>
        <v>84600.432172869143</v>
      </c>
      <c r="R377" s="11">
        <f t="shared" si="26"/>
        <v>10747.525154761075</v>
      </c>
      <c r="S377" s="11">
        <f t="shared" si="27"/>
        <v>73852.907018108061</v>
      </c>
      <c r="T377" s="11">
        <f t="shared" si="28"/>
        <v>53836.638655462179</v>
      </c>
      <c r="U377" s="11">
        <f t="shared" si="29"/>
        <v>20016.268362645882</v>
      </c>
    </row>
    <row r="378" spans="1:21" x14ac:dyDescent="0.3">
      <c r="A378" s="1" t="s">
        <v>430</v>
      </c>
      <c r="B378" s="9">
        <v>46116</v>
      </c>
      <c r="C378" s="1" t="s">
        <v>46</v>
      </c>
      <c r="D378" s="1" t="s">
        <v>47</v>
      </c>
      <c r="E378" s="1" t="s">
        <v>27</v>
      </c>
      <c r="F378" s="1" t="s">
        <v>22</v>
      </c>
      <c r="G378" s="1" t="s">
        <v>16</v>
      </c>
      <c r="H378" s="13">
        <v>3.8490276110444102</v>
      </c>
      <c r="I378" s="10">
        <v>0.127186554621849</v>
      </c>
      <c r="J378" s="13">
        <v>0.423433373349339</v>
      </c>
      <c r="K378" s="10" t="s">
        <v>48</v>
      </c>
      <c r="L378" s="2" t="str">
        <f>_xlfn.XLOOKUP(D378,Products!A:A,Products!B:B)</f>
        <v>Mixer Grinder</v>
      </c>
      <c r="M378" s="2" t="str">
        <f>_xlfn.XLOOKUP(D378,Products!A:A,Products!C:C)</f>
        <v>Home Appliances</v>
      </c>
      <c r="N378" s="2" t="str">
        <f>_xlfn.XLOOKUP(D378,Products!A:A,Products!D:D)</f>
        <v>Philips</v>
      </c>
      <c r="O378" s="2">
        <f>_xlfn.XLOOKUP(D378,Products!A:A,Products!E:E)</f>
        <v>2800</v>
      </c>
      <c r="P378" s="2">
        <f>_xlfn.XLOOKUP(D378,Products!A:A,Products!F:F)</f>
        <v>4800</v>
      </c>
      <c r="Q378" s="11">
        <f t="shared" si="25"/>
        <v>18475.33253301317</v>
      </c>
      <c r="R378" s="11">
        <f t="shared" si="26"/>
        <v>2349.8138903669033</v>
      </c>
      <c r="S378" s="11">
        <f t="shared" si="27"/>
        <v>16125.518642646268</v>
      </c>
      <c r="T378" s="11">
        <f t="shared" si="28"/>
        <v>10777.277310924348</v>
      </c>
      <c r="U378" s="11">
        <f t="shared" si="29"/>
        <v>5348.2413317219198</v>
      </c>
    </row>
    <row r="379" spans="1:21" x14ac:dyDescent="0.3">
      <c r="A379" s="2" t="s">
        <v>431</v>
      </c>
      <c r="B379" s="6">
        <v>46116</v>
      </c>
      <c r="C379" s="2" t="s">
        <v>50</v>
      </c>
      <c r="D379" s="2" t="s">
        <v>51</v>
      </c>
      <c r="E379" s="2" t="s">
        <v>21</v>
      </c>
      <c r="F379" s="2" t="s">
        <v>52</v>
      </c>
      <c r="G379" s="2" t="s">
        <v>16</v>
      </c>
      <c r="H379" s="11">
        <v>3.8525810324129601</v>
      </c>
      <c r="I379" s="7">
        <v>0.12733445378151301</v>
      </c>
      <c r="J379" s="11">
        <v>0.41138055222088998</v>
      </c>
      <c r="K379" s="2" t="s">
        <v>17</v>
      </c>
      <c r="L379" s="2" t="str">
        <f>_xlfn.XLOOKUP(D379,Products!A:A,Products!B:B)</f>
        <v>Shirt</v>
      </c>
      <c r="M379" s="2" t="str">
        <f>_xlfn.XLOOKUP(D379,Products!A:A,Products!C:C)</f>
        <v>Clothing</v>
      </c>
      <c r="N379" s="2" t="str">
        <f>_xlfn.XLOOKUP(D379,Products!A:A,Products!D:D)</f>
        <v>Levis</v>
      </c>
      <c r="O379" s="2">
        <f>_xlfn.XLOOKUP(D379,Products!A:A,Products!E:E)</f>
        <v>700</v>
      </c>
      <c r="P379" s="2">
        <f>_xlfn.XLOOKUP(D379,Products!A:A,Products!F:F)</f>
        <v>1500</v>
      </c>
      <c r="Q379" s="11">
        <f t="shared" si="25"/>
        <v>5778.8715486194405</v>
      </c>
      <c r="R379" s="11">
        <f t="shared" si="26"/>
        <v>735.84945211698266</v>
      </c>
      <c r="S379" s="11">
        <f t="shared" si="27"/>
        <v>5043.0220965024582</v>
      </c>
      <c r="T379" s="11">
        <f t="shared" si="28"/>
        <v>2696.8067226890721</v>
      </c>
      <c r="U379" s="11">
        <f t="shared" si="29"/>
        <v>2346.2153738133861</v>
      </c>
    </row>
    <row r="380" spans="1:21" x14ac:dyDescent="0.3">
      <c r="A380" s="2" t="s">
        <v>432</v>
      </c>
      <c r="B380" s="6">
        <v>46117</v>
      </c>
      <c r="C380" s="2" t="s">
        <v>54</v>
      </c>
      <c r="D380" s="2" t="s">
        <v>55</v>
      </c>
      <c r="E380" s="2" t="s">
        <v>38</v>
      </c>
      <c r="F380" s="2" t="s">
        <v>15</v>
      </c>
      <c r="G380" s="2" t="s">
        <v>29</v>
      </c>
      <c r="H380" s="11">
        <v>3.8561344537815101</v>
      </c>
      <c r="I380" s="7">
        <v>0.12748235294117599</v>
      </c>
      <c r="J380" s="11">
        <v>0.39932773109243902</v>
      </c>
      <c r="K380" s="2" t="s">
        <v>30</v>
      </c>
      <c r="L380" s="2" t="str">
        <f>_xlfn.XLOOKUP(D380,Products!A:A,Products!B:B)</f>
        <v>Sports Shoes</v>
      </c>
      <c r="M380" s="2" t="str">
        <f>_xlfn.XLOOKUP(D380,Products!A:A,Products!C:C)</f>
        <v>Sports</v>
      </c>
      <c r="N380" s="2" t="str">
        <f>_xlfn.XLOOKUP(D380,Products!A:A,Products!D:D)</f>
        <v>Nike</v>
      </c>
      <c r="O380" s="2">
        <f>_xlfn.XLOOKUP(D380,Products!A:A,Products!E:E)</f>
        <v>2200</v>
      </c>
      <c r="P380" s="2">
        <f>_xlfn.XLOOKUP(D380,Products!A:A,Products!F:F)</f>
        <v>4500</v>
      </c>
      <c r="Q380" s="11">
        <f t="shared" si="25"/>
        <v>17352.605042016796</v>
      </c>
      <c r="R380" s="11">
        <f t="shared" si="26"/>
        <v>2212.1509204152153</v>
      </c>
      <c r="S380" s="11">
        <f t="shared" si="27"/>
        <v>15140.45412160158</v>
      </c>
      <c r="T380" s="11">
        <f t="shared" si="28"/>
        <v>8483.4957983193217</v>
      </c>
      <c r="U380" s="11">
        <f t="shared" si="29"/>
        <v>6656.9583232822588</v>
      </c>
    </row>
    <row r="381" spans="1:21" x14ac:dyDescent="0.3">
      <c r="A381" s="2" t="s">
        <v>433</v>
      </c>
      <c r="B381" s="6">
        <v>46117</v>
      </c>
      <c r="C381" s="2" t="s">
        <v>57</v>
      </c>
      <c r="D381" s="2" t="s">
        <v>58</v>
      </c>
      <c r="E381" s="2" t="s">
        <v>44</v>
      </c>
      <c r="F381" s="2" t="s">
        <v>41</v>
      </c>
      <c r="G381" s="2" t="s">
        <v>23</v>
      </c>
      <c r="H381" s="11">
        <v>3.8596878751500601</v>
      </c>
      <c r="I381" s="7">
        <v>0.12763025210084</v>
      </c>
      <c r="J381" s="11">
        <v>0.38727490996397901</v>
      </c>
      <c r="K381" s="2" t="s">
        <v>17</v>
      </c>
      <c r="L381" s="2" t="str">
        <f>_xlfn.XLOOKUP(D381,Products!A:A,Products!B:B)</f>
        <v>Study Table</v>
      </c>
      <c r="M381" s="2" t="str">
        <f>_xlfn.XLOOKUP(D381,Products!A:A,Products!C:C)</f>
        <v>Furniture</v>
      </c>
      <c r="N381" s="2" t="str">
        <f>_xlfn.XLOOKUP(D381,Products!A:A,Products!D:D)</f>
        <v>Ikea</v>
      </c>
      <c r="O381" s="2">
        <f>_xlfn.XLOOKUP(D381,Products!A:A,Products!E:E)</f>
        <v>5000</v>
      </c>
      <c r="P381" s="2">
        <f>_xlfn.XLOOKUP(D381,Products!A:A,Products!F:F)</f>
        <v>8500</v>
      </c>
      <c r="Q381" s="11">
        <f t="shared" si="25"/>
        <v>32807.34693877551</v>
      </c>
      <c r="R381" s="11">
        <f t="shared" si="26"/>
        <v>4187.2099605556396</v>
      </c>
      <c r="S381" s="11">
        <f t="shared" si="27"/>
        <v>28620.136978219871</v>
      </c>
      <c r="T381" s="11">
        <f t="shared" si="28"/>
        <v>19298.439375750302</v>
      </c>
      <c r="U381" s="11">
        <f t="shared" si="29"/>
        <v>9321.6976024695687</v>
      </c>
    </row>
    <row r="382" spans="1:21" x14ac:dyDescent="0.3">
      <c r="A382" s="2" t="s">
        <v>434</v>
      </c>
      <c r="B382" s="6">
        <v>46118</v>
      </c>
      <c r="C382" s="2" t="s">
        <v>60</v>
      </c>
      <c r="D382" s="2" t="s">
        <v>13</v>
      </c>
      <c r="E382" s="2" t="s">
        <v>14</v>
      </c>
      <c r="F382" s="2" t="s">
        <v>22</v>
      </c>
      <c r="G382" s="2" t="s">
        <v>16</v>
      </c>
      <c r="H382" s="11">
        <v>3.8632412965185998</v>
      </c>
      <c r="I382" s="7">
        <v>0.12777815126050401</v>
      </c>
      <c r="J382" s="11">
        <v>0.37522208883552899</v>
      </c>
      <c r="K382" s="2" t="s">
        <v>17</v>
      </c>
      <c r="L382" s="2" t="str">
        <f>_xlfn.XLOOKUP(D382,Products!A:A,Products!B:B)</f>
        <v>Laptop</v>
      </c>
      <c r="M382" s="2" t="str">
        <f>_xlfn.XLOOKUP(D382,Products!A:A,Products!C:C)</f>
        <v>Electronics</v>
      </c>
      <c r="N382" s="2" t="str">
        <f>_xlfn.XLOOKUP(D382,Products!A:A,Products!D:D)</f>
        <v>HP</v>
      </c>
      <c r="O382" s="2">
        <f>_xlfn.XLOOKUP(D382,Products!A:A,Products!E:E)</f>
        <v>42000</v>
      </c>
      <c r="P382" s="2">
        <f>_xlfn.XLOOKUP(D382,Products!A:A,Products!F:F)</f>
        <v>55000</v>
      </c>
      <c r="Q382" s="11">
        <f t="shared" si="25"/>
        <v>212478.27130852299</v>
      </c>
      <c r="R382" s="11">
        <f t="shared" si="26"/>
        <v>27150.080690830862</v>
      </c>
      <c r="S382" s="11">
        <f t="shared" si="27"/>
        <v>185328.19061769213</v>
      </c>
      <c r="T382" s="11">
        <f t="shared" si="28"/>
        <v>162256.13445378118</v>
      </c>
      <c r="U382" s="11">
        <f t="shared" si="29"/>
        <v>23072.056163910951</v>
      </c>
    </row>
    <row r="383" spans="1:21" x14ac:dyDescent="0.3">
      <c r="A383" s="2" t="s">
        <v>435</v>
      </c>
      <c r="B383" s="6">
        <v>46118</v>
      </c>
      <c r="C383" s="2" t="s">
        <v>62</v>
      </c>
      <c r="D383" s="2" t="s">
        <v>26</v>
      </c>
      <c r="E383" s="2" t="s">
        <v>27</v>
      </c>
      <c r="F383" s="2" t="s">
        <v>15</v>
      </c>
      <c r="G383" s="2" t="s">
        <v>42</v>
      </c>
      <c r="H383" s="11">
        <v>3.8667947178871498</v>
      </c>
      <c r="I383" s="7">
        <v>0.127926050420168</v>
      </c>
      <c r="J383" s="11">
        <v>0.36316926770708002</v>
      </c>
      <c r="K383" s="2" t="s">
        <v>17</v>
      </c>
      <c r="L383" s="2" t="str">
        <f>_xlfn.XLOOKUP(D383,Products!A:A,Products!B:B)</f>
        <v>Face Wash</v>
      </c>
      <c r="M383" s="2" t="str">
        <f>_xlfn.XLOOKUP(D383,Products!A:A,Products!C:C)</f>
        <v>Beauty</v>
      </c>
      <c r="N383" s="2" t="str">
        <f>_xlfn.XLOOKUP(D383,Products!A:A,Products!D:D)</f>
        <v>Nivea</v>
      </c>
      <c r="O383" s="2">
        <f>_xlfn.XLOOKUP(D383,Products!A:A,Products!E:E)</f>
        <v>180</v>
      </c>
      <c r="P383" s="2">
        <f>_xlfn.XLOOKUP(D383,Products!A:A,Products!F:F)</f>
        <v>350</v>
      </c>
      <c r="Q383" s="11">
        <f t="shared" si="25"/>
        <v>1353.3781512605024</v>
      </c>
      <c r="R383" s="11">
        <f t="shared" si="26"/>
        <v>173.13232161570477</v>
      </c>
      <c r="S383" s="11">
        <f t="shared" si="27"/>
        <v>1180.2458296447976</v>
      </c>
      <c r="T383" s="11">
        <f t="shared" si="28"/>
        <v>696.02304921968698</v>
      </c>
      <c r="U383" s="11">
        <f t="shared" si="29"/>
        <v>484.22278042511061</v>
      </c>
    </row>
    <row r="384" spans="1:21" x14ac:dyDescent="0.3">
      <c r="A384" s="2" t="s">
        <v>436</v>
      </c>
      <c r="B384" s="6">
        <v>46119</v>
      </c>
      <c r="C384" s="2" t="s">
        <v>64</v>
      </c>
      <c r="D384" s="2" t="s">
        <v>20</v>
      </c>
      <c r="E384" s="2" t="s">
        <v>21</v>
      </c>
      <c r="F384" s="2" t="s">
        <v>39</v>
      </c>
      <c r="G384" s="2" t="s">
        <v>23</v>
      </c>
      <c r="H384" s="11">
        <v>3.8703481392557002</v>
      </c>
      <c r="I384" s="7">
        <v>0.12807394957983201</v>
      </c>
      <c r="J384" s="11">
        <v>0.351116446578629</v>
      </c>
      <c r="K384" s="2" t="s">
        <v>17</v>
      </c>
      <c r="L384" s="2" t="str">
        <f>_xlfn.XLOOKUP(D384,Products!A:A,Products!B:B)</f>
        <v>Jeans</v>
      </c>
      <c r="M384" s="2" t="str">
        <f>_xlfn.XLOOKUP(D384,Products!A:A,Products!C:C)</f>
        <v>Clothing</v>
      </c>
      <c r="N384" s="2" t="str">
        <f>_xlfn.XLOOKUP(D384,Products!A:A,Products!D:D)</f>
        <v>Wrangler</v>
      </c>
      <c r="O384" s="2">
        <f>_xlfn.XLOOKUP(D384,Products!A:A,Products!E:E)</f>
        <v>1100</v>
      </c>
      <c r="P384" s="2">
        <f>_xlfn.XLOOKUP(D384,Products!A:A,Products!F:F)</f>
        <v>2200</v>
      </c>
      <c r="Q384" s="11">
        <f t="shared" si="25"/>
        <v>8514.7659063625397</v>
      </c>
      <c r="R384" s="11">
        <f t="shared" si="26"/>
        <v>1090.5196993755485</v>
      </c>
      <c r="S384" s="11">
        <f t="shared" si="27"/>
        <v>7424.2462069869907</v>
      </c>
      <c r="T384" s="11">
        <f t="shared" si="28"/>
        <v>4257.3829531812698</v>
      </c>
      <c r="U384" s="11">
        <f t="shared" si="29"/>
        <v>3166.8632538057209</v>
      </c>
    </row>
    <row r="385" spans="1:21" x14ac:dyDescent="0.3">
      <c r="A385" s="2" t="s">
        <v>437</v>
      </c>
      <c r="B385" s="6">
        <v>46119</v>
      </c>
      <c r="C385" s="2" t="s">
        <v>66</v>
      </c>
      <c r="D385" s="2" t="s">
        <v>37</v>
      </c>
      <c r="E385" s="2" t="s">
        <v>38</v>
      </c>
      <c r="F385" s="2" t="s">
        <v>15</v>
      </c>
      <c r="G385" s="2" t="s">
        <v>16</v>
      </c>
      <c r="H385" s="11">
        <v>3.8739015606242502</v>
      </c>
      <c r="I385" s="7">
        <v>0.12822184873949599</v>
      </c>
      <c r="J385" s="11">
        <v>0.33906362545017898</v>
      </c>
      <c r="K385" s="2" t="s">
        <v>17</v>
      </c>
      <c r="L385" s="2" t="str">
        <f>_xlfn.XLOOKUP(D385,Products!A:A,Products!B:B)</f>
        <v>Headphones</v>
      </c>
      <c r="M385" s="2" t="str">
        <f>_xlfn.XLOOKUP(D385,Products!A:A,Products!C:C)</f>
        <v>Electronics</v>
      </c>
      <c r="N385" s="2" t="str">
        <f>_xlfn.XLOOKUP(D385,Products!A:A,Products!D:D)</f>
        <v>Sony</v>
      </c>
      <c r="O385" s="2">
        <f>_xlfn.XLOOKUP(D385,Products!A:A,Products!E:E)</f>
        <v>1800</v>
      </c>
      <c r="P385" s="2">
        <f>_xlfn.XLOOKUP(D385,Products!A:A,Products!F:F)</f>
        <v>3200</v>
      </c>
      <c r="Q385" s="11">
        <f t="shared" si="25"/>
        <v>12396.484993997601</v>
      </c>
      <c r="R385" s="11">
        <f t="shared" si="26"/>
        <v>1589.5002238017923</v>
      </c>
      <c r="S385" s="11">
        <f t="shared" si="27"/>
        <v>10806.98477019581</v>
      </c>
      <c r="T385" s="11">
        <f t="shared" si="28"/>
        <v>6973.0228091236504</v>
      </c>
      <c r="U385" s="11">
        <f t="shared" si="29"/>
        <v>3833.9619610721593</v>
      </c>
    </row>
    <row r="386" spans="1:21" x14ac:dyDescent="0.3">
      <c r="A386" s="2" t="s">
        <v>438</v>
      </c>
      <c r="B386" s="6">
        <v>46113</v>
      </c>
      <c r="C386" s="2" t="s">
        <v>12</v>
      </c>
      <c r="D386" s="2" t="s">
        <v>13</v>
      </c>
      <c r="E386" s="2" t="s">
        <v>14</v>
      </c>
      <c r="F386" s="2" t="s">
        <v>15</v>
      </c>
      <c r="G386" s="2" t="s">
        <v>16</v>
      </c>
      <c r="H386" s="11">
        <v>3.8774549819927899</v>
      </c>
      <c r="I386" s="7">
        <v>0.12836974789916</v>
      </c>
      <c r="J386" s="11">
        <v>0.32701080432173002</v>
      </c>
      <c r="K386" s="2" t="s">
        <v>17</v>
      </c>
      <c r="L386" s="2" t="str">
        <f>_xlfn.XLOOKUP(D386,Products!A:A,Products!B:B)</f>
        <v>Laptop</v>
      </c>
      <c r="M386" s="2" t="str">
        <f>_xlfn.XLOOKUP(D386,Products!A:A,Products!C:C)</f>
        <v>Electronics</v>
      </c>
      <c r="N386" s="2" t="str">
        <f>_xlfn.XLOOKUP(D386,Products!A:A,Products!D:D)</f>
        <v>HP</v>
      </c>
      <c r="O386" s="2">
        <f>_xlfn.XLOOKUP(D386,Products!A:A,Products!E:E)</f>
        <v>42000</v>
      </c>
      <c r="P386" s="2">
        <f>_xlfn.XLOOKUP(D386,Products!A:A,Products!F:F)</f>
        <v>55000</v>
      </c>
      <c r="Q386" s="11">
        <f t="shared" si="25"/>
        <v>213260.02400960345</v>
      </c>
      <c r="R386" s="11">
        <f t="shared" si="26"/>
        <v>27376.135519081603</v>
      </c>
      <c r="S386" s="11">
        <f t="shared" si="27"/>
        <v>185883.88849052184</v>
      </c>
      <c r="T386" s="11">
        <f t="shared" si="28"/>
        <v>162853.10924369717</v>
      </c>
      <c r="U386" s="11">
        <f t="shared" si="29"/>
        <v>23030.779246824677</v>
      </c>
    </row>
    <row r="387" spans="1:21" x14ac:dyDescent="0.3">
      <c r="A387" s="2" t="s">
        <v>439</v>
      </c>
      <c r="B387" s="6">
        <v>46113</v>
      </c>
      <c r="C387" s="2" t="s">
        <v>19</v>
      </c>
      <c r="D387" s="2" t="s">
        <v>20</v>
      </c>
      <c r="E387" s="2" t="s">
        <v>21</v>
      </c>
      <c r="F387" s="2" t="s">
        <v>22</v>
      </c>
      <c r="G387" s="2" t="s">
        <v>23</v>
      </c>
      <c r="H387" s="11">
        <v>3.8810084033613399</v>
      </c>
      <c r="I387" s="7">
        <v>0.12851764705882401</v>
      </c>
      <c r="J387" s="11">
        <v>0.314957983193279</v>
      </c>
      <c r="K387" s="2" t="s">
        <v>17</v>
      </c>
      <c r="L387" s="2" t="str">
        <f>_xlfn.XLOOKUP(D387,Products!A:A,Products!B:B)</f>
        <v>Jeans</v>
      </c>
      <c r="M387" s="2" t="str">
        <f>_xlfn.XLOOKUP(D387,Products!A:A,Products!C:C)</f>
        <v>Clothing</v>
      </c>
      <c r="N387" s="2" t="str">
        <f>_xlfn.XLOOKUP(D387,Products!A:A,Products!D:D)</f>
        <v>Wrangler</v>
      </c>
      <c r="O387" s="2">
        <f>_xlfn.XLOOKUP(D387,Products!A:A,Products!E:E)</f>
        <v>1100</v>
      </c>
      <c r="P387" s="2">
        <f>_xlfn.XLOOKUP(D387,Products!A:A,Products!F:F)</f>
        <v>2200</v>
      </c>
      <c r="Q387" s="11">
        <f t="shared" ref="Q387:Q450" si="30">H387*P387</f>
        <v>8538.2184873949482</v>
      </c>
      <c r="R387" s="11">
        <f t="shared" ref="R387:R450" si="31">Q387*I387</f>
        <v>1097.3117500741503</v>
      </c>
      <c r="S387" s="11">
        <f t="shared" ref="S387:S450" si="32">Q387-R387</f>
        <v>7440.9067373207981</v>
      </c>
      <c r="T387" s="11">
        <f t="shared" ref="T387:T450" si="33">H387*O387</f>
        <v>4269.1092436974741</v>
      </c>
      <c r="U387" s="11">
        <f t="shared" ref="U387:U450" si="34">S387-T387</f>
        <v>3171.797493623324</v>
      </c>
    </row>
    <row r="388" spans="1:21" x14ac:dyDescent="0.3">
      <c r="A388" s="2" t="s">
        <v>440</v>
      </c>
      <c r="B388" s="6">
        <v>46114</v>
      </c>
      <c r="C388" s="2" t="s">
        <v>25</v>
      </c>
      <c r="D388" s="2" t="s">
        <v>26</v>
      </c>
      <c r="E388" s="2" t="s">
        <v>27</v>
      </c>
      <c r="F388" s="2" t="s">
        <v>28</v>
      </c>
      <c r="G388" s="2" t="s">
        <v>29</v>
      </c>
      <c r="H388" s="11">
        <v>3.8845618247298899</v>
      </c>
      <c r="I388" s="7">
        <v>0.128665546218487</v>
      </c>
      <c r="J388" s="11">
        <v>0.30290516206482898</v>
      </c>
      <c r="K388" s="2" t="s">
        <v>30</v>
      </c>
      <c r="L388" s="2" t="str">
        <f>_xlfn.XLOOKUP(D388,Products!A:A,Products!B:B)</f>
        <v>Face Wash</v>
      </c>
      <c r="M388" s="2" t="str">
        <f>_xlfn.XLOOKUP(D388,Products!A:A,Products!C:C)</f>
        <v>Beauty</v>
      </c>
      <c r="N388" s="2" t="str">
        <f>_xlfn.XLOOKUP(D388,Products!A:A,Products!D:D)</f>
        <v>Nivea</v>
      </c>
      <c r="O388" s="2">
        <f>_xlfn.XLOOKUP(D388,Products!A:A,Products!E:E)</f>
        <v>180</v>
      </c>
      <c r="P388" s="2">
        <f>_xlfn.XLOOKUP(D388,Products!A:A,Products!F:F)</f>
        <v>350</v>
      </c>
      <c r="Q388" s="11">
        <f t="shared" si="30"/>
        <v>1359.5966386554614</v>
      </c>
      <c r="R388" s="11">
        <f t="shared" si="31"/>
        <v>174.93324414942384</v>
      </c>
      <c r="S388" s="11">
        <f t="shared" si="32"/>
        <v>1184.6633945060375</v>
      </c>
      <c r="T388" s="11">
        <f t="shared" si="33"/>
        <v>699.2211284513802</v>
      </c>
      <c r="U388" s="11">
        <f t="shared" si="34"/>
        <v>485.44226605465735</v>
      </c>
    </row>
    <row r="389" spans="1:21" x14ac:dyDescent="0.3">
      <c r="A389" s="4" t="s">
        <v>441</v>
      </c>
      <c r="B389" s="5">
        <v>46114</v>
      </c>
      <c r="C389" s="4" t="s">
        <v>32</v>
      </c>
      <c r="D389" s="4" t="s">
        <v>37</v>
      </c>
      <c r="E389" s="4" t="s">
        <v>38</v>
      </c>
      <c r="F389" s="4" t="s">
        <v>39</v>
      </c>
      <c r="G389" s="4" t="s">
        <v>16</v>
      </c>
      <c r="H389" s="12">
        <v>3.8881152460984398</v>
      </c>
      <c r="I389" s="8">
        <v>0.12881344537815101</v>
      </c>
      <c r="J389" s="12">
        <v>0.29085234093637002</v>
      </c>
      <c r="K389" s="4" t="s">
        <v>17</v>
      </c>
      <c r="L389" s="2" t="str">
        <f>_xlfn.XLOOKUP(D389,Products!A:A,Products!B:B)</f>
        <v>Headphones</v>
      </c>
      <c r="M389" s="2" t="str">
        <f>_xlfn.XLOOKUP(D389,Products!A:A,Products!C:C)</f>
        <v>Electronics</v>
      </c>
      <c r="N389" s="2" t="str">
        <f>_xlfn.XLOOKUP(D389,Products!A:A,Products!D:D)</f>
        <v>Sony</v>
      </c>
      <c r="O389" s="2">
        <f>_xlfn.XLOOKUP(D389,Products!A:A,Products!E:E)</f>
        <v>1800</v>
      </c>
      <c r="P389" s="2">
        <f>_xlfn.XLOOKUP(D389,Products!A:A,Products!F:F)</f>
        <v>3200</v>
      </c>
      <c r="Q389" s="11">
        <f t="shared" si="30"/>
        <v>12441.968787515007</v>
      </c>
      <c r="R389" s="11">
        <f t="shared" si="31"/>
        <v>1602.6928668072239</v>
      </c>
      <c r="S389" s="11">
        <f t="shared" si="32"/>
        <v>10839.275920707783</v>
      </c>
      <c r="T389" s="11">
        <f t="shared" si="33"/>
        <v>6998.6074429771916</v>
      </c>
      <c r="U389" s="11">
        <f t="shared" si="34"/>
        <v>3840.6684777305918</v>
      </c>
    </row>
    <row r="390" spans="1:21" x14ac:dyDescent="0.3">
      <c r="A390" s="1" t="s">
        <v>442</v>
      </c>
      <c r="B390" s="9">
        <v>46115</v>
      </c>
      <c r="C390" s="1" t="s">
        <v>34</v>
      </c>
      <c r="D390" s="1" t="s">
        <v>40</v>
      </c>
      <c r="E390" s="1" t="s">
        <v>14</v>
      </c>
      <c r="F390" s="1" t="s">
        <v>41</v>
      </c>
      <c r="G390" s="1" t="s">
        <v>42</v>
      </c>
      <c r="H390" s="13">
        <v>3.89166866746698</v>
      </c>
      <c r="I390" s="10">
        <v>0.12896134453781499</v>
      </c>
      <c r="J390" s="13">
        <v>0.27879951980792</v>
      </c>
      <c r="K390" s="10" t="s">
        <v>17</v>
      </c>
      <c r="L390" s="2" t="str">
        <f>_xlfn.XLOOKUP(D390,Products!A:A,Products!B:B)</f>
        <v>Office Chair</v>
      </c>
      <c r="M390" s="2" t="str">
        <f>_xlfn.XLOOKUP(D390,Products!A:A,Products!C:C)</f>
        <v>Furniture</v>
      </c>
      <c r="N390" s="2" t="str">
        <f>_xlfn.XLOOKUP(D390,Products!A:A,Products!D:D)</f>
        <v>Featherlite</v>
      </c>
      <c r="O390" s="2">
        <f>_xlfn.XLOOKUP(D390,Products!A:A,Products!E:E)</f>
        <v>4500</v>
      </c>
      <c r="P390" s="2">
        <f>_xlfn.XLOOKUP(D390,Products!A:A,Products!F:F)</f>
        <v>7500</v>
      </c>
      <c r="Q390" s="11">
        <f t="shared" si="30"/>
        <v>29187.515006002352</v>
      </c>
      <c r="R390" s="11">
        <f t="shared" si="31"/>
        <v>3764.0611788917145</v>
      </c>
      <c r="S390" s="11">
        <f t="shared" si="32"/>
        <v>25423.453827110636</v>
      </c>
      <c r="T390" s="11">
        <f t="shared" si="33"/>
        <v>17512.509003601412</v>
      </c>
      <c r="U390" s="11">
        <f t="shared" si="34"/>
        <v>7910.9448235092241</v>
      </c>
    </row>
    <row r="391" spans="1:21" x14ac:dyDescent="0.3">
      <c r="A391" s="1" t="s">
        <v>443</v>
      </c>
      <c r="B391" s="9">
        <v>46115</v>
      </c>
      <c r="C391" s="1" t="s">
        <v>36</v>
      </c>
      <c r="D391" s="1" t="s">
        <v>43</v>
      </c>
      <c r="E391" s="1" t="s">
        <v>44</v>
      </c>
      <c r="F391" s="1" t="s">
        <v>15</v>
      </c>
      <c r="G391" s="1" t="s">
        <v>23</v>
      </c>
      <c r="H391" s="13">
        <v>3.89522208883553</v>
      </c>
      <c r="I391" s="10">
        <v>0.129109243697479</v>
      </c>
      <c r="J391" s="13">
        <v>0.26674669867946899</v>
      </c>
      <c r="K391" s="10" t="s">
        <v>17</v>
      </c>
      <c r="L391" s="2" t="str">
        <f>_xlfn.XLOOKUP(D391,Products!A:A,Products!B:B)</f>
        <v>Smartphone</v>
      </c>
      <c r="M391" s="2" t="str">
        <f>_xlfn.XLOOKUP(D391,Products!A:A,Products!C:C)</f>
        <v>Electronics</v>
      </c>
      <c r="N391" s="2" t="str">
        <f>_xlfn.XLOOKUP(D391,Products!A:A,Products!D:D)</f>
        <v>Samsung</v>
      </c>
      <c r="O391" s="2">
        <f>_xlfn.XLOOKUP(D391,Products!A:A,Products!E:E)</f>
        <v>14000</v>
      </c>
      <c r="P391" s="2">
        <f>_xlfn.XLOOKUP(D391,Products!A:A,Products!F:F)</f>
        <v>22000</v>
      </c>
      <c r="Q391" s="11">
        <f t="shared" si="30"/>
        <v>85694.885954381665</v>
      </c>
      <c r="R391" s="11">
        <f t="shared" si="31"/>
        <v>11064.001914311933</v>
      </c>
      <c r="S391" s="11">
        <f t="shared" si="32"/>
        <v>74630.884040069737</v>
      </c>
      <c r="T391" s="11">
        <f t="shared" si="33"/>
        <v>54533.109243697421</v>
      </c>
      <c r="U391" s="11">
        <f t="shared" si="34"/>
        <v>20097.774796372316</v>
      </c>
    </row>
    <row r="392" spans="1:21" x14ac:dyDescent="0.3">
      <c r="A392" s="1" t="s">
        <v>444</v>
      </c>
      <c r="B392" s="9">
        <v>46116</v>
      </c>
      <c r="C392" s="1" t="s">
        <v>46</v>
      </c>
      <c r="D392" s="1" t="s">
        <v>47</v>
      </c>
      <c r="E392" s="1" t="s">
        <v>27</v>
      </c>
      <c r="F392" s="1" t="s">
        <v>22</v>
      </c>
      <c r="G392" s="1" t="s">
        <v>16</v>
      </c>
      <c r="H392" s="13">
        <v>3.89877551020408</v>
      </c>
      <c r="I392" s="10">
        <v>0.12925714285714299</v>
      </c>
      <c r="J392" s="13">
        <v>0.25469387755102002</v>
      </c>
      <c r="K392" s="10" t="s">
        <v>48</v>
      </c>
      <c r="L392" s="2" t="str">
        <f>_xlfn.XLOOKUP(D392,Products!A:A,Products!B:B)</f>
        <v>Mixer Grinder</v>
      </c>
      <c r="M392" s="2" t="str">
        <f>_xlfn.XLOOKUP(D392,Products!A:A,Products!C:C)</f>
        <v>Home Appliances</v>
      </c>
      <c r="N392" s="2" t="str">
        <f>_xlfn.XLOOKUP(D392,Products!A:A,Products!D:D)</f>
        <v>Philips</v>
      </c>
      <c r="O392" s="2">
        <f>_xlfn.XLOOKUP(D392,Products!A:A,Products!E:E)</f>
        <v>2800</v>
      </c>
      <c r="P392" s="2">
        <f>_xlfn.XLOOKUP(D392,Products!A:A,Products!F:F)</f>
        <v>4800</v>
      </c>
      <c r="Q392" s="11">
        <f t="shared" si="30"/>
        <v>18714.122448979582</v>
      </c>
      <c r="R392" s="11">
        <f t="shared" si="31"/>
        <v>2418.9339988338206</v>
      </c>
      <c r="S392" s="11">
        <f t="shared" si="32"/>
        <v>16295.188450145761</v>
      </c>
      <c r="T392" s="11">
        <f t="shared" si="33"/>
        <v>10916.571428571424</v>
      </c>
      <c r="U392" s="11">
        <f t="shared" si="34"/>
        <v>5378.6170215743368</v>
      </c>
    </row>
    <row r="393" spans="1:21" x14ac:dyDescent="0.3">
      <c r="A393" s="2" t="s">
        <v>445</v>
      </c>
      <c r="B393" s="6">
        <v>46116</v>
      </c>
      <c r="C393" s="2" t="s">
        <v>50</v>
      </c>
      <c r="D393" s="2" t="s">
        <v>51</v>
      </c>
      <c r="E393" s="2" t="s">
        <v>21</v>
      </c>
      <c r="F393" s="2" t="s">
        <v>52</v>
      </c>
      <c r="G393" s="2" t="s">
        <v>16</v>
      </c>
      <c r="H393" s="11">
        <v>3.9023289315726299</v>
      </c>
      <c r="I393" s="7">
        <v>0.129405042016807</v>
      </c>
      <c r="J393" s="11">
        <v>0.24264105642257</v>
      </c>
      <c r="K393" s="2" t="s">
        <v>17</v>
      </c>
      <c r="L393" s="2" t="str">
        <f>_xlfn.XLOOKUP(D393,Products!A:A,Products!B:B)</f>
        <v>Shirt</v>
      </c>
      <c r="M393" s="2" t="str">
        <f>_xlfn.XLOOKUP(D393,Products!A:A,Products!C:C)</f>
        <v>Clothing</v>
      </c>
      <c r="N393" s="2" t="str">
        <f>_xlfn.XLOOKUP(D393,Products!A:A,Products!D:D)</f>
        <v>Levis</v>
      </c>
      <c r="O393" s="2">
        <f>_xlfn.XLOOKUP(D393,Products!A:A,Products!E:E)</f>
        <v>700</v>
      </c>
      <c r="P393" s="2">
        <f>_xlfn.XLOOKUP(D393,Products!A:A,Products!F:F)</f>
        <v>1500</v>
      </c>
      <c r="Q393" s="11">
        <f t="shared" si="30"/>
        <v>5853.493397358945</v>
      </c>
      <c r="R393" s="11">
        <f t="shared" si="31"/>
        <v>757.47155903033661</v>
      </c>
      <c r="S393" s="11">
        <f t="shared" si="32"/>
        <v>5096.0218383286083</v>
      </c>
      <c r="T393" s="11">
        <f t="shared" si="33"/>
        <v>2731.6302521008411</v>
      </c>
      <c r="U393" s="11">
        <f t="shared" si="34"/>
        <v>2364.3915862277672</v>
      </c>
    </row>
    <row r="394" spans="1:21" x14ac:dyDescent="0.3">
      <c r="A394" s="2" t="s">
        <v>446</v>
      </c>
      <c r="B394" s="6">
        <v>46117</v>
      </c>
      <c r="C394" s="2" t="s">
        <v>54</v>
      </c>
      <c r="D394" s="2" t="s">
        <v>55</v>
      </c>
      <c r="E394" s="2" t="s">
        <v>38</v>
      </c>
      <c r="F394" s="2" t="s">
        <v>15</v>
      </c>
      <c r="G394" s="2" t="s">
        <v>29</v>
      </c>
      <c r="H394" s="11">
        <v>3.9058823529411701</v>
      </c>
      <c r="I394" s="7">
        <v>0.12955294117647101</v>
      </c>
      <c r="J394" s="11">
        <v>0.23058823529411901</v>
      </c>
      <c r="K394" s="2" t="s">
        <v>30</v>
      </c>
      <c r="L394" s="2" t="str">
        <f>_xlfn.XLOOKUP(D394,Products!A:A,Products!B:B)</f>
        <v>Sports Shoes</v>
      </c>
      <c r="M394" s="2" t="str">
        <f>_xlfn.XLOOKUP(D394,Products!A:A,Products!C:C)</f>
        <v>Sports</v>
      </c>
      <c r="N394" s="2" t="str">
        <f>_xlfn.XLOOKUP(D394,Products!A:A,Products!D:D)</f>
        <v>Nike</v>
      </c>
      <c r="O394" s="2">
        <f>_xlfn.XLOOKUP(D394,Products!A:A,Products!E:E)</f>
        <v>2200</v>
      </c>
      <c r="P394" s="2">
        <f>_xlfn.XLOOKUP(D394,Products!A:A,Products!F:F)</f>
        <v>4500</v>
      </c>
      <c r="Q394" s="11">
        <f t="shared" si="30"/>
        <v>17576.470588235265</v>
      </c>
      <c r="R394" s="11">
        <f t="shared" si="31"/>
        <v>2277.0834602076161</v>
      </c>
      <c r="S394" s="11">
        <f t="shared" si="32"/>
        <v>15299.387128027649</v>
      </c>
      <c r="T394" s="11">
        <f t="shared" si="33"/>
        <v>8592.9411764705746</v>
      </c>
      <c r="U394" s="11">
        <f t="shared" si="34"/>
        <v>6706.4459515570743</v>
      </c>
    </row>
    <row r="395" spans="1:21" x14ac:dyDescent="0.3">
      <c r="A395" s="2" t="s">
        <v>447</v>
      </c>
      <c r="B395" s="6">
        <v>46117</v>
      </c>
      <c r="C395" s="2" t="s">
        <v>57</v>
      </c>
      <c r="D395" s="2" t="s">
        <v>58</v>
      </c>
      <c r="E395" s="2" t="s">
        <v>44</v>
      </c>
      <c r="F395" s="2" t="s">
        <v>41</v>
      </c>
      <c r="G395" s="2" t="s">
        <v>23</v>
      </c>
      <c r="H395" s="11">
        <v>3.9094357743097201</v>
      </c>
      <c r="I395" s="7">
        <v>0.12970084033613399</v>
      </c>
      <c r="J395" s="11">
        <v>0.21853541416566999</v>
      </c>
      <c r="K395" s="2" t="s">
        <v>17</v>
      </c>
      <c r="L395" s="2" t="str">
        <f>_xlfn.XLOOKUP(D395,Products!A:A,Products!B:B)</f>
        <v>Study Table</v>
      </c>
      <c r="M395" s="2" t="str">
        <f>_xlfn.XLOOKUP(D395,Products!A:A,Products!C:C)</f>
        <v>Furniture</v>
      </c>
      <c r="N395" s="2" t="str">
        <f>_xlfn.XLOOKUP(D395,Products!A:A,Products!D:D)</f>
        <v>Ikea</v>
      </c>
      <c r="O395" s="2">
        <f>_xlfn.XLOOKUP(D395,Products!A:A,Products!E:E)</f>
        <v>5000</v>
      </c>
      <c r="P395" s="2">
        <f>_xlfn.XLOOKUP(D395,Products!A:A,Products!F:F)</f>
        <v>8500</v>
      </c>
      <c r="Q395" s="11">
        <f t="shared" si="30"/>
        <v>33230.204081632619</v>
      </c>
      <c r="R395" s="11">
        <f t="shared" si="31"/>
        <v>4309.9853939289806</v>
      </c>
      <c r="S395" s="11">
        <f t="shared" si="32"/>
        <v>28920.218687703637</v>
      </c>
      <c r="T395" s="11">
        <f t="shared" si="33"/>
        <v>19547.1788715486</v>
      </c>
      <c r="U395" s="11">
        <f t="shared" si="34"/>
        <v>9373.0398161550365</v>
      </c>
    </row>
    <row r="396" spans="1:21" x14ac:dyDescent="0.3">
      <c r="A396" s="2" t="s">
        <v>448</v>
      </c>
      <c r="B396" s="6">
        <v>46118</v>
      </c>
      <c r="C396" s="2" t="s">
        <v>60</v>
      </c>
      <c r="D396" s="2" t="s">
        <v>13</v>
      </c>
      <c r="E396" s="2" t="s">
        <v>14</v>
      </c>
      <c r="F396" s="2" t="s">
        <v>22</v>
      </c>
      <c r="G396" s="2" t="s">
        <v>16</v>
      </c>
      <c r="H396" s="11">
        <v>3.9129891956782701</v>
      </c>
      <c r="I396" s="7">
        <v>0.129848739495798</v>
      </c>
      <c r="J396" s="11">
        <v>0.20648259303721</v>
      </c>
      <c r="K396" s="2" t="s">
        <v>17</v>
      </c>
      <c r="L396" s="2" t="str">
        <f>_xlfn.XLOOKUP(D396,Products!A:A,Products!B:B)</f>
        <v>Laptop</v>
      </c>
      <c r="M396" s="2" t="str">
        <f>_xlfn.XLOOKUP(D396,Products!A:A,Products!C:C)</f>
        <v>Electronics</v>
      </c>
      <c r="N396" s="2" t="str">
        <f>_xlfn.XLOOKUP(D396,Products!A:A,Products!D:D)</f>
        <v>HP</v>
      </c>
      <c r="O396" s="2">
        <f>_xlfn.XLOOKUP(D396,Products!A:A,Products!E:E)</f>
        <v>42000</v>
      </c>
      <c r="P396" s="2">
        <f>_xlfn.XLOOKUP(D396,Products!A:A,Products!F:F)</f>
        <v>55000</v>
      </c>
      <c r="Q396" s="11">
        <f t="shared" si="30"/>
        <v>215214.40576230484</v>
      </c>
      <c r="R396" s="11">
        <f t="shared" si="31"/>
        <v>27945.319309572489</v>
      </c>
      <c r="S396" s="11">
        <f t="shared" si="32"/>
        <v>187269.08645273236</v>
      </c>
      <c r="T396" s="11">
        <f t="shared" si="33"/>
        <v>164345.54621848735</v>
      </c>
      <c r="U396" s="11">
        <f t="shared" si="34"/>
        <v>22923.540234245011</v>
      </c>
    </row>
    <row r="397" spans="1:21" x14ac:dyDescent="0.3">
      <c r="A397" s="2" t="s">
        <v>449</v>
      </c>
      <c r="B397" s="6">
        <v>46118</v>
      </c>
      <c r="C397" s="2" t="s">
        <v>62</v>
      </c>
      <c r="D397" s="2" t="s">
        <v>26</v>
      </c>
      <c r="E397" s="2" t="s">
        <v>27</v>
      </c>
      <c r="F397" s="2" t="s">
        <v>15</v>
      </c>
      <c r="G397" s="2" t="s">
        <v>42</v>
      </c>
      <c r="H397" s="11">
        <v>3.9165426170468098</v>
      </c>
      <c r="I397" s="7">
        <v>0.12999663865546199</v>
      </c>
      <c r="J397" s="11">
        <v>0.19442977190876001</v>
      </c>
      <c r="K397" s="2" t="s">
        <v>17</v>
      </c>
      <c r="L397" s="2" t="str">
        <f>_xlfn.XLOOKUP(D397,Products!A:A,Products!B:B)</f>
        <v>Face Wash</v>
      </c>
      <c r="M397" s="2" t="str">
        <f>_xlfn.XLOOKUP(D397,Products!A:A,Products!C:C)</f>
        <v>Beauty</v>
      </c>
      <c r="N397" s="2" t="str">
        <f>_xlfn.XLOOKUP(D397,Products!A:A,Products!D:D)</f>
        <v>Nivea</v>
      </c>
      <c r="O397" s="2">
        <f>_xlfn.XLOOKUP(D397,Products!A:A,Products!E:E)</f>
        <v>180</v>
      </c>
      <c r="P397" s="2">
        <f>_xlfn.XLOOKUP(D397,Products!A:A,Products!F:F)</f>
        <v>350</v>
      </c>
      <c r="Q397" s="11">
        <f t="shared" si="30"/>
        <v>1370.7899159663834</v>
      </c>
      <c r="R397" s="11">
        <f t="shared" si="31"/>
        <v>178.19808137843305</v>
      </c>
      <c r="S397" s="11">
        <f t="shared" si="32"/>
        <v>1192.5918345879504</v>
      </c>
      <c r="T397" s="11">
        <f t="shared" si="33"/>
        <v>704.97767106842582</v>
      </c>
      <c r="U397" s="11">
        <f t="shared" si="34"/>
        <v>487.6141635195246</v>
      </c>
    </row>
    <row r="398" spans="1:21" x14ac:dyDescent="0.3">
      <c r="A398" s="2" t="s">
        <v>450</v>
      </c>
      <c r="B398" s="6">
        <v>46119</v>
      </c>
      <c r="C398" s="2" t="s">
        <v>64</v>
      </c>
      <c r="D398" s="2" t="s">
        <v>20</v>
      </c>
      <c r="E398" s="2" t="s">
        <v>21</v>
      </c>
      <c r="F398" s="2" t="s">
        <v>39</v>
      </c>
      <c r="G398" s="2" t="s">
        <v>23</v>
      </c>
      <c r="H398" s="11">
        <v>3.9200960384153598</v>
      </c>
      <c r="I398" s="7">
        <v>0.130144537815126</v>
      </c>
      <c r="J398" s="11">
        <v>0.18237695078030899</v>
      </c>
      <c r="K398" s="2" t="s">
        <v>17</v>
      </c>
      <c r="L398" s="2" t="str">
        <f>_xlfn.XLOOKUP(D398,Products!A:A,Products!B:B)</f>
        <v>Jeans</v>
      </c>
      <c r="M398" s="2" t="str">
        <f>_xlfn.XLOOKUP(D398,Products!A:A,Products!C:C)</f>
        <v>Clothing</v>
      </c>
      <c r="N398" s="2" t="str">
        <f>_xlfn.XLOOKUP(D398,Products!A:A,Products!D:D)</f>
        <v>Wrangler</v>
      </c>
      <c r="O398" s="2">
        <f>_xlfn.XLOOKUP(D398,Products!A:A,Products!E:E)</f>
        <v>1100</v>
      </c>
      <c r="P398" s="2">
        <f>_xlfn.XLOOKUP(D398,Products!A:A,Products!F:F)</f>
        <v>2200</v>
      </c>
      <c r="Q398" s="11">
        <f t="shared" si="30"/>
        <v>8624.2112845137908</v>
      </c>
      <c r="R398" s="11">
        <f t="shared" si="31"/>
        <v>1122.3939916430413</v>
      </c>
      <c r="S398" s="11">
        <f t="shared" si="32"/>
        <v>7501.81729287075</v>
      </c>
      <c r="T398" s="11">
        <f t="shared" si="33"/>
        <v>4312.1056422568954</v>
      </c>
      <c r="U398" s="11">
        <f t="shared" si="34"/>
        <v>3189.7116506138545</v>
      </c>
    </row>
    <row r="399" spans="1:21" x14ac:dyDescent="0.3">
      <c r="A399" s="2" t="s">
        <v>451</v>
      </c>
      <c r="B399" s="6">
        <v>46119</v>
      </c>
      <c r="C399" s="2" t="s">
        <v>66</v>
      </c>
      <c r="D399" s="2" t="s">
        <v>37</v>
      </c>
      <c r="E399" s="2" t="s">
        <v>38</v>
      </c>
      <c r="F399" s="2" t="s">
        <v>15</v>
      </c>
      <c r="G399" s="2" t="s">
        <v>16</v>
      </c>
      <c r="H399" s="11">
        <v>3.9236494597839102</v>
      </c>
      <c r="I399" s="7">
        <v>0.13029243697479001</v>
      </c>
      <c r="J399" s="11">
        <v>0.17032412965186</v>
      </c>
      <c r="K399" s="2" t="s">
        <v>17</v>
      </c>
      <c r="L399" s="2" t="str">
        <f>_xlfn.XLOOKUP(D399,Products!A:A,Products!B:B)</f>
        <v>Headphones</v>
      </c>
      <c r="M399" s="2" t="str">
        <f>_xlfn.XLOOKUP(D399,Products!A:A,Products!C:C)</f>
        <v>Electronics</v>
      </c>
      <c r="N399" s="2" t="str">
        <f>_xlfn.XLOOKUP(D399,Products!A:A,Products!D:D)</f>
        <v>Sony</v>
      </c>
      <c r="O399" s="2">
        <f>_xlfn.XLOOKUP(D399,Products!A:A,Products!E:E)</f>
        <v>1800</v>
      </c>
      <c r="P399" s="2">
        <f>_xlfn.XLOOKUP(D399,Products!A:A,Products!F:F)</f>
        <v>3200</v>
      </c>
      <c r="Q399" s="11">
        <f t="shared" si="30"/>
        <v>12555.678271308512</v>
      </c>
      <c r="R399" s="11">
        <f t="shared" si="31"/>
        <v>1635.9099198402048</v>
      </c>
      <c r="S399" s="11">
        <f t="shared" si="32"/>
        <v>10919.768351468307</v>
      </c>
      <c r="T399" s="11">
        <f t="shared" si="33"/>
        <v>7062.5690276110381</v>
      </c>
      <c r="U399" s="11">
        <f t="shared" si="34"/>
        <v>3857.1993238572686</v>
      </c>
    </row>
    <row r="400" spans="1:21" x14ac:dyDescent="0.3">
      <c r="A400" s="2" t="s">
        <v>452</v>
      </c>
      <c r="B400" s="6">
        <v>46120</v>
      </c>
      <c r="C400" s="2" t="s">
        <v>68</v>
      </c>
      <c r="D400" s="2" t="s">
        <v>40</v>
      </c>
      <c r="E400" s="2" t="s">
        <v>44</v>
      </c>
      <c r="F400" s="2" t="s">
        <v>22</v>
      </c>
      <c r="G400" s="2" t="s">
        <v>29</v>
      </c>
      <c r="H400" s="11">
        <v>3.9272028811524602</v>
      </c>
      <c r="I400" s="7">
        <v>0.13044033613445399</v>
      </c>
      <c r="J400" s="11">
        <v>0.15827130852341001</v>
      </c>
      <c r="K400" s="2" t="s">
        <v>30</v>
      </c>
      <c r="L400" s="2" t="str">
        <f>_xlfn.XLOOKUP(D400,Products!A:A,Products!B:B)</f>
        <v>Office Chair</v>
      </c>
      <c r="M400" s="2" t="str">
        <f>_xlfn.XLOOKUP(D400,Products!A:A,Products!C:C)</f>
        <v>Furniture</v>
      </c>
      <c r="N400" s="2" t="str">
        <f>_xlfn.XLOOKUP(D400,Products!A:A,Products!D:D)</f>
        <v>Featherlite</v>
      </c>
      <c r="O400" s="2">
        <f>_xlfn.XLOOKUP(D400,Products!A:A,Products!E:E)</f>
        <v>4500</v>
      </c>
      <c r="P400" s="2">
        <f>_xlfn.XLOOKUP(D400,Products!A:A,Products!F:F)</f>
        <v>7500</v>
      </c>
      <c r="Q400" s="11">
        <f t="shared" si="30"/>
        <v>29454.021608643452</v>
      </c>
      <c r="R400" s="11">
        <f t="shared" si="31"/>
        <v>3841.992479142923</v>
      </c>
      <c r="S400" s="11">
        <f t="shared" si="32"/>
        <v>25612.02912950053</v>
      </c>
      <c r="T400" s="11">
        <f t="shared" si="33"/>
        <v>17672.412965186071</v>
      </c>
      <c r="U400" s="11">
        <f t="shared" si="34"/>
        <v>7939.6161643144587</v>
      </c>
    </row>
    <row r="401" spans="1:21" x14ac:dyDescent="0.3">
      <c r="A401" s="2" t="s">
        <v>453</v>
      </c>
      <c r="B401" s="6">
        <v>46120</v>
      </c>
      <c r="C401" s="2" t="s">
        <v>12</v>
      </c>
      <c r="D401" s="2" t="s">
        <v>43</v>
      </c>
      <c r="E401" s="2" t="s">
        <v>14</v>
      </c>
      <c r="F401" s="2" t="s">
        <v>15</v>
      </c>
      <c r="G401" s="2" t="s">
        <v>16</v>
      </c>
      <c r="H401" s="11">
        <v>3.9307563025209999</v>
      </c>
      <c r="I401" s="7">
        <v>0.130588235294118</v>
      </c>
      <c r="J401" s="11">
        <v>0.14621848739495899</v>
      </c>
      <c r="K401" s="2" t="s">
        <v>17</v>
      </c>
      <c r="L401" s="2" t="str">
        <f>_xlfn.XLOOKUP(D401,Products!A:A,Products!B:B)</f>
        <v>Smartphone</v>
      </c>
      <c r="M401" s="2" t="str">
        <f>_xlfn.XLOOKUP(D401,Products!A:A,Products!C:C)</f>
        <v>Electronics</v>
      </c>
      <c r="N401" s="2" t="str">
        <f>_xlfn.XLOOKUP(D401,Products!A:A,Products!D:D)</f>
        <v>Samsung</v>
      </c>
      <c r="O401" s="2">
        <f>_xlfn.XLOOKUP(D401,Products!A:A,Products!E:E)</f>
        <v>14000</v>
      </c>
      <c r="P401" s="2">
        <f>_xlfn.XLOOKUP(D401,Products!A:A,Products!F:F)</f>
        <v>22000</v>
      </c>
      <c r="Q401" s="11">
        <f t="shared" si="30"/>
        <v>86476.638655461997</v>
      </c>
      <c r="R401" s="11">
        <f t="shared" si="31"/>
        <v>11292.831636183892</v>
      </c>
      <c r="S401" s="11">
        <f t="shared" si="32"/>
        <v>75183.807019278102</v>
      </c>
      <c r="T401" s="11">
        <f t="shared" si="33"/>
        <v>55030.588235294003</v>
      </c>
      <c r="U401" s="11">
        <f t="shared" si="34"/>
        <v>20153.218783984099</v>
      </c>
    </row>
    <row r="402" spans="1:21" x14ac:dyDescent="0.3">
      <c r="A402" s="2" t="s">
        <v>454</v>
      </c>
      <c r="B402" s="6">
        <v>46121</v>
      </c>
      <c r="C402" s="2" t="s">
        <v>19</v>
      </c>
      <c r="D402" s="2" t="s">
        <v>47</v>
      </c>
      <c r="E402" s="2" t="s">
        <v>27</v>
      </c>
      <c r="F402" s="2" t="s">
        <v>41</v>
      </c>
      <c r="G402" s="2" t="s">
        <v>23</v>
      </c>
      <c r="H402" s="11">
        <v>3.9343097238895499</v>
      </c>
      <c r="I402" s="7">
        <v>0.13073613445378199</v>
      </c>
      <c r="J402" s="11">
        <v>0.13416566626649901</v>
      </c>
      <c r="K402" s="2" t="s">
        <v>17</v>
      </c>
      <c r="L402" s="2" t="str">
        <f>_xlfn.XLOOKUP(D402,Products!A:A,Products!B:B)</f>
        <v>Mixer Grinder</v>
      </c>
      <c r="M402" s="2" t="str">
        <f>_xlfn.XLOOKUP(D402,Products!A:A,Products!C:C)</f>
        <v>Home Appliances</v>
      </c>
      <c r="N402" s="2" t="str">
        <f>_xlfn.XLOOKUP(D402,Products!A:A,Products!D:D)</f>
        <v>Philips</v>
      </c>
      <c r="O402" s="2">
        <f>_xlfn.XLOOKUP(D402,Products!A:A,Products!E:E)</f>
        <v>2800</v>
      </c>
      <c r="P402" s="2">
        <f>_xlfn.XLOOKUP(D402,Products!A:A,Products!F:F)</f>
        <v>4800</v>
      </c>
      <c r="Q402" s="11">
        <f t="shared" si="30"/>
        <v>18884.68667466984</v>
      </c>
      <c r="R402" s="11">
        <f t="shared" si="31"/>
        <v>2468.9109362171812</v>
      </c>
      <c r="S402" s="11">
        <f t="shared" si="32"/>
        <v>16415.775738452659</v>
      </c>
      <c r="T402" s="11">
        <f t="shared" si="33"/>
        <v>11016.06722689074</v>
      </c>
      <c r="U402" s="11">
        <f t="shared" si="34"/>
        <v>5399.7085115619193</v>
      </c>
    </row>
    <row r="403" spans="1:21" x14ac:dyDescent="0.3">
      <c r="A403" s="2" t="s">
        <v>455</v>
      </c>
      <c r="B403" s="6">
        <v>46121</v>
      </c>
      <c r="C403" s="2" t="s">
        <v>25</v>
      </c>
      <c r="D403" s="2" t="s">
        <v>51</v>
      </c>
      <c r="E403" s="2" t="s">
        <v>21</v>
      </c>
      <c r="F403" s="2" t="s">
        <v>52</v>
      </c>
      <c r="G403" s="2" t="s">
        <v>29</v>
      </c>
      <c r="H403" s="11">
        <v>3.9378631452580999</v>
      </c>
      <c r="I403" s="7">
        <v>0.130884033613445</v>
      </c>
      <c r="J403" s="11">
        <v>0.12211284513805</v>
      </c>
      <c r="K403" s="2" t="s">
        <v>30</v>
      </c>
      <c r="L403" s="2" t="str">
        <f>_xlfn.XLOOKUP(D403,Products!A:A,Products!B:B)</f>
        <v>Shirt</v>
      </c>
      <c r="M403" s="2" t="str">
        <f>_xlfn.XLOOKUP(D403,Products!A:A,Products!C:C)</f>
        <v>Clothing</v>
      </c>
      <c r="N403" s="2" t="str">
        <f>_xlfn.XLOOKUP(D403,Products!A:A,Products!D:D)</f>
        <v>Levis</v>
      </c>
      <c r="O403" s="2">
        <f>_xlfn.XLOOKUP(D403,Products!A:A,Products!E:E)</f>
        <v>700</v>
      </c>
      <c r="P403" s="2">
        <f>_xlfn.XLOOKUP(D403,Products!A:A,Products!F:F)</f>
        <v>1500</v>
      </c>
      <c r="Q403" s="11">
        <f t="shared" si="30"/>
        <v>5906.79471788715</v>
      </c>
      <c r="R403" s="11">
        <f t="shared" si="31"/>
        <v>773.10511840366109</v>
      </c>
      <c r="S403" s="11">
        <f t="shared" si="32"/>
        <v>5133.6895994834886</v>
      </c>
      <c r="T403" s="11">
        <f t="shared" si="33"/>
        <v>2756.5042016806701</v>
      </c>
      <c r="U403" s="11">
        <f t="shared" si="34"/>
        <v>2377.1853978028184</v>
      </c>
    </row>
    <row r="404" spans="1:21" x14ac:dyDescent="0.3">
      <c r="A404" s="2" t="s">
        <v>456</v>
      </c>
      <c r="B404" s="6">
        <v>46122</v>
      </c>
      <c r="C404" s="2" t="s">
        <v>32</v>
      </c>
      <c r="D404" s="2" t="s">
        <v>55</v>
      </c>
      <c r="E404" s="2" t="s">
        <v>38</v>
      </c>
      <c r="F404" s="2" t="s">
        <v>22</v>
      </c>
      <c r="G404" s="2" t="s">
        <v>16</v>
      </c>
      <c r="H404" s="11">
        <v>3.9414165666266499</v>
      </c>
      <c r="I404" s="7">
        <v>0.13103193277310901</v>
      </c>
      <c r="J404" s="11">
        <v>0.11006002400959899</v>
      </c>
      <c r="K404" s="2" t="s">
        <v>17</v>
      </c>
      <c r="L404" s="2" t="str">
        <f>_xlfn.XLOOKUP(D404,Products!A:A,Products!B:B)</f>
        <v>Sports Shoes</v>
      </c>
      <c r="M404" s="2" t="str">
        <f>_xlfn.XLOOKUP(D404,Products!A:A,Products!C:C)</f>
        <v>Sports</v>
      </c>
      <c r="N404" s="2" t="str">
        <f>_xlfn.XLOOKUP(D404,Products!A:A,Products!D:D)</f>
        <v>Nike</v>
      </c>
      <c r="O404" s="2">
        <f>_xlfn.XLOOKUP(D404,Products!A:A,Products!E:E)</f>
        <v>2200</v>
      </c>
      <c r="P404" s="2">
        <f>_xlfn.XLOOKUP(D404,Products!A:A,Products!F:F)</f>
        <v>4500</v>
      </c>
      <c r="Q404" s="11">
        <f t="shared" si="30"/>
        <v>17736.374549819924</v>
      </c>
      <c r="R404" s="11">
        <f t="shared" si="31"/>
        <v>2324.0314376506858</v>
      </c>
      <c r="S404" s="11">
        <f t="shared" si="32"/>
        <v>15412.343112169237</v>
      </c>
      <c r="T404" s="11">
        <f t="shared" si="33"/>
        <v>8671.1164465786296</v>
      </c>
      <c r="U404" s="11">
        <f t="shared" si="34"/>
        <v>6741.2266655906078</v>
      </c>
    </row>
    <row r="405" spans="1:21" x14ac:dyDescent="0.3">
      <c r="A405" s="2" t="s">
        <v>457</v>
      </c>
      <c r="B405" s="6">
        <v>46122</v>
      </c>
      <c r="C405" s="2" t="s">
        <v>34</v>
      </c>
      <c r="D405" s="2" t="s">
        <v>58</v>
      </c>
      <c r="E405" s="2" t="s">
        <v>44</v>
      </c>
      <c r="F405" s="2" t="s">
        <v>15</v>
      </c>
      <c r="G405" s="2" t="s">
        <v>23</v>
      </c>
      <c r="H405" s="11">
        <v>3.9449699879951901</v>
      </c>
      <c r="I405" s="7">
        <v>0.13117983193277299</v>
      </c>
      <c r="J405" s="11">
        <v>9.8007202881149197E-2</v>
      </c>
      <c r="K405" s="2" t="s">
        <v>17</v>
      </c>
      <c r="L405" s="2" t="str">
        <f>_xlfn.XLOOKUP(D405,Products!A:A,Products!B:B)</f>
        <v>Study Table</v>
      </c>
      <c r="M405" s="2" t="str">
        <f>_xlfn.XLOOKUP(D405,Products!A:A,Products!C:C)</f>
        <v>Furniture</v>
      </c>
      <c r="N405" s="2" t="str">
        <f>_xlfn.XLOOKUP(D405,Products!A:A,Products!D:D)</f>
        <v>Ikea</v>
      </c>
      <c r="O405" s="2">
        <f>_xlfn.XLOOKUP(D405,Products!A:A,Products!E:E)</f>
        <v>5000</v>
      </c>
      <c r="P405" s="2">
        <f>_xlfn.XLOOKUP(D405,Products!A:A,Products!F:F)</f>
        <v>8500</v>
      </c>
      <c r="Q405" s="11">
        <f t="shared" si="30"/>
        <v>33532.244897959114</v>
      </c>
      <c r="R405" s="11">
        <f t="shared" si="31"/>
        <v>4398.7542500428608</v>
      </c>
      <c r="S405" s="11">
        <f t="shared" si="32"/>
        <v>29133.490647916253</v>
      </c>
      <c r="T405" s="11">
        <f t="shared" si="33"/>
        <v>19724.849939975949</v>
      </c>
      <c r="U405" s="11">
        <f t="shared" si="34"/>
        <v>9408.6407079403034</v>
      </c>
    </row>
    <row r="406" spans="1:21" x14ac:dyDescent="0.3">
      <c r="A406" s="2" t="s">
        <v>458</v>
      </c>
      <c r="B406" s="6">
        <v>46123</v>
      </c>
      <c r="C406" s="2" t="s">
        <v>36</v>
      </c>
      <c r="D406" s="2" t="s">
        <v>13</v>
      </c>
      <c r="E406" s="2" t="s">
        <v>14</v>
      </c>
      <c r="F406" s="2" t="s">
        <v>39</v>
      </c>
      <c r="G406" s="2" t="s">
        <v>16</v>
      </c>
      <c r="H406" s="11">
        <v>3.94852340936374</v>
      </c>
      <c r="I406" s="7">
        <v>0.13132773109243701</v>
      </c>
      <c r="J406" s="11">
        <v>8.5954381752699802E-2</v>
      </c>
      <c r="K406" s="2" t="s">
        <v>17</v>
      </c>
      <c r="L406" s="2" t="str">
        <f>_xlfn.XLOOKUP(D406,Products!A:A,Products!B:B)</f>
        <v>Laptop</v>
      </c>
      <c r="M406" s="2" t="str">
        <f>_xlfn.XLOOKUP(D406,Products!A:A,Products!C:C)</f>
        <v>Electronics</v>
      </c>
      <c r="N406" s="2" t="str">
        <f>_xlfn.XLOOKUP(D406,Products!A:A,Products!D:D)</f>
        <v>HP</v>
      </c>
      <c r="O406" s="2">
        <f>_xlfn.XLOOKUP(D406,Products!A:A,Products!E:E)</f>
        <v>42000</v>
      </c>
      <c r="P406" s="2">
        <f>_xlfn.XLOOKUP(D406,Products!A:A,Products!F:F)</f>
        <v>55000</v>
      </c>
      <c r="Q406" s="11">
        <f t="shared" si="30"/>
        <v>217168.78751500571</v>
      </c>
      <c r="R406" s="11">
        <f t="shared" si="31"/>
        <v>28520.284128441261</v>
      </c>
      <c r="S406" s="11">
        <f t="shared" si="32"/>
        <v>188648.50338656444</v>
      </c>
      <c r="T406" s="11">
        <f t="shared" si="33"/>
        <v>165837.98319327709</v>
      </c>
      <c r="U406" s="11">
        <f t="shared" si="34"/>
        <v>22810.520193287346</v>
      </c>
    </row>
    <row r="407" spans="1:21" x14ac:dyDescent="0.3">
      <c r="A407" s="2" t="s">
        <v>459</v>
      </c>
      <c r="B407" s="6">
        <v>46123</v>
      </c>
      <c r="C407" s="2" t="s">
        <v>46</v>
      </c>
      <c r="D407" s="2" t="s">
        <v>20</v>
      </c>
      <c r="E407" s="2" t="s">
        <v>27</v>
      </c>
      <c r="F407" s="2" t="s">
        <v>15</v>
      </c>
      <c r="G407" s="2" t="s">
        <v>29</v>
      </c>
      <c r="H407" s="11">
        <v>3.95207683073229</v>
      </c>
      <c r="I407" s="7">
        <v>0.13147563025210099</v>
      </c>
      <c r="J407" s="11">
        <v>7.3901560624249504E-2</v>
      </c>
      <c r="K407" s="2" t="s">
        <v>17</v>
      </c>
      <c r="L407" s="2" t="str">
        <f>_xlfn.XLOOKUP(D407,Products!A:A,Products!B:B)</f>
        <v>Jeans</v>
      </c>
      <c r="M407" s="2" t="str">
        <f>_xlfn.XLOOKUP(D407,Products!A:A,Products!C:C)</f>
        <v>Clothing</v>
      </c>
      <c r="N407" s="2" t="str">
        <f>_xlfn.XLOOKUP(D407,Products!A:A,Products!D:D)</f>
        <v>Wrangler</v>
      </c>
      <c r="O407" s="2">
        <f>_xlfn.XLOOKUP(D407,Products!A:A,Products!E:E)</f>
        <v>1100</v>
      </c>
      <c r="P407" s="2">
        <f>_xlfn.XLOOKUP(D407,Products!A:A,Products!F:F)</f>
        <v>2200</v>
      </c>
      <c r="Q407" s="11">
        <f t="shared" si="30"/>
        <v>8694.5690276110381</v>
      </c>
      <c r="R407" s="11">
        <f t="shared" si="31"/>
        <v>1143.1239426755581</v>
      </c>
      <c r="S407" s="11">
        <f t="shared" si="32"/>
        <v>7551.4450849354798</v>
      </c>
      <c r="T407" s="11">
        <f t="shared" si="33"/>
        <v>4347.2845138055191</v>
      </c>
      <c r="U407" s="11">
        <f t="shared" si="34"/>
        <v>3204.1605711299608</v>
      </c>
    </row>
    <row r="408" spans="1:21" x14ac:dyDescent="0.3">
      <c r="A408" s="2" t="s">
        <v>460</v>
      </c>
      <c r="B408" s="6">
        <v>46124</v>
      </c>
      <c r="C408" s="2" t="s">
        <v>50</v>
      </c>
      <c r="D408" s="2" t="s">
        <v>26</v>
      </c>
      <c r="E408" s="2" t="s">
        <v>21</v>
      </c>
      <c r="F408" s="2" t="s">
        <v>41</v>
      </c>
      <c r="G408" s="2" t="s">
        <v>23</v>
      </c>
      <c r="H408" s="11">
        <v>3.95563025210084</v>
      </c>
      <c r="I408" s="7">
        <v>0.131623529411765</v>
      </c>
      <c r="J408" s="11">
        <v>6.18487394957992E-2</v>
      </c>
      <c r="K408" s="2" t="s">
        <v>17</v>
      </c>
      <c r="L408" s="2" t="str">
        <f>_xlfn.XLOOKUP(D408,Products!A:A,Products!B:B)</f>
        <v>Face Wash</v>
      </c>
      <c r="M408" s="2" t="str">
        <f>_xlfn.XLOOKUP(D408,Products!A:A,Products!C:C)</f>
        <v>Beauty</v>
      </c>
      <c r="N408" s="2" t="str">
        <f>_xlfn.XLOOKUP(D408,Products!A:A,Products!D:D)</f>
        <v>Nivea</v>
      </c>
      <c r="O408" s="2">
        <f>_xlfn.XLOOKUP(D408,Products!A:A,Products!E:E)</f>
        <v>180</v>
      </c>
      <c r="P408" s="2">
        <f>_xlfn.XLOOKUP(D408,Products!A:A,Products!F:F)</f>
        <v>350</v>
      </c>
      <c r="Q408" s="11">
        <f t="shared" si="30"/>
        <v>1384.4705882352939</v>
      </c>
      <c r="R408" s="11">
        <f t="shared" si="31"/>
        <v>182.22890519031179</v>
      </c>
      <c r="S408" s="11">
        <f t="shared" si="32"/>
        <v>1202.2416830449822</v>
      </c>
      <c r="T408" s="11">
        <f t="shared" si="33"/>
        <v>712.01344537815123</v>
      </c>
      <c r="U408" s="11">
        <f t="shared" si="34"/>
        <v>490.22823766683098</v>
      </c>
    </row>
    <row r="409" spans="1:21" x14ac:dyDescent="0.3">
      <c r="A409" s="2" t="s">
        <v>461</v>
      </c>
      <c r="B409" s="6">
        <v>46124</v>
      </c>
      <c r="C409" s="2" t="s">
        <v>54</v>
      </c>
      <c r="D409" s="2" t="s">
        <v>37</v>
      </c>
      <c r="E409" s="2" t="s">
        <v>38</v>
      </c>
      <c r="F409" s="2" t="s">
        <v>22</v>
      </c>
      <c r="G409" s="2" t="s">
        <v>16</v>
      </c>
      <c r="H409" s="11">
        <v>3.9591836734693802</v>
      </c>
      <c r="I409" s="7">
        <v>0.13177142857142901</v>
      </c>
      <c r="J409" s="11">
        <v>4.9795918367349798E-2</v>
      </c>
      <c r="K409" s="2" t="s">
        <v>30</v>
      </c>
      <c r="L409" s="2" t="str">
        <f>_xlfn.XLOOKUP(D409,Products!A:A,Products!B:B)</f>
        <v>Headphones</v>
      </c>
      <c r="M409" s="2" t="str">
        <f>_xlfn.XLOOKUP(D409,Products!A:A,Products!C:C)</f>
        <v>Electronics</v>
      </c>
      <c r="N409" s="2" t="str">
        <f>_xlfn.XLOOKUP(D409,Products!A:A,Products!D:D)</f>
        <v>Sony</v>
      </c>
      <c r="O409" s="2">
        <f>_xlfn.XLOOKUP(D409,Products!A:A,Products!E:E)</f>
        <v>1800</v>
      </c>
      <c r="P409" s="2">
        <f>_xlfn.XLOOKUP(D409,Products!A:A,Products!F:F)</f>
        <v>3200</v>
      </c>
      <c r="Q409" s="11">
        <f t="shared" si="30"/>
        <v>12669.387755102016</v>
      </c>
      <c r="R409" s="11">
        <f t="shared" si="31"/>
        <v>1669.4633236151626</v>
      </c>
      <c r="S409" s="11">
        <f t="shared" si="32"/>
        <v>10999.924431486854</v>
      </c>
      <c r="T409" s="11">
        <f t="shared" si="33"/>
        <v>7126.5306122448847</v>
      </c>
      <c r="U409" s="11">
        <f t="shared" si="34"/>
        <v>3873.3938192419691</v>
      </c>
    </row>
    <row r="410" spans="1:21" x14ac:dyDescent="0.3">
      <c r="A410" s="2" t="s">
        <v>462</v>
      </c>
      <c r="B410" s="6">
        <v>46125</v>
      </c>
      <c r="C410" s="2" t="s">
        <v>57</v>
      </c>
      <c r="D410" s="2" t="s">
        <v>40</v>
      </c>
      <c r="E410" s="2" t="s">
        <v>44</v>
      </c>
      <c r="F410" s="2" t="s">
        <v>15</v>
      </c>
      <c r="G410" s="2" t="s">
        <v>42</v>
      </c>
      <c r="H410" s="11">
        <v>3.9627370948379301</v>
      </c>
      <c r="I410" s="7">
        <v>0.131919327731092</v>
      </c>
      <c r="J410" s="11">
        <v>3.7743097238889703E-2</v>
      </c>
      <c r="K410" s="2" t="s">
        <v>17</v>
      </c>
      <c r="L410" s="2" t="str">
        <f>_xlfn.XLOOKUP(D410,Products!A:A,Products!B:B)</f>
        <v>Office Chair</v>
      </c>
      <c r="M410" s="2" t="str">
        <f>_xlfn.XLOOKUP(D410,Products!A:A,Products!C:C)</f>
        <v>Furniture</v>
      </c>
      <c r="N410" s="2" t="str">
        <f>_xlfn.XLOOKUP(D410,Products!A:A,Products!D:D)</f>
        <v>Featherlite</v>
      </c>
      <c r="O410" s="2">
        <f>_xlfn.XLOOKUP(D410,Products!A:A,Products!E:E)</f>
        <v>4500</v>
      </c>
      <c r="P410" s="2">
        <f>_xlfn.XLOOKUP(D410,Products!A:A,Products!F:F)</f>
        <v>7500</v>
      </c>
      <c r="Q410" s="11">
        <f t="shared" si="30"/>
        <v>29720.528211284476</v>
      </c>
      <c r="R410" s="11">
        <f t="shared" si="31"/>
        <v>3920.712101445602</v>
      </c>
      <c r="S410" s="11">
        <f t="shared" si="32"/>
        <v>25799.816109838874</v>
      </c>
      <c r="T410" s="11">
        <f t="shared" si="33"/>
        <v>17832.316926770687</v>
      </c>
      <c r="U410" s="11">
        <f t="shared" si="34"/>
        <v>7967.4991830681865</v>
      </c>
    </row>
    <row r="411" spans="1:21" x14ac:dyDescent="0.3">
      <c r="A411" s="2" t="s">
        <v>463</v>
      </c>
      <c r="B411" s="6">
        <v>46125</v>
      </c>
      <c r="C411" s="2" t="s">
        <v>60</v>
      </c>
      <c r="D411" s="2" t="s">
        <v>47</v>
      </c>
      <c r="E411" s="2" t="s">
        <v>14</v>
      </c>
      <c r="F411" s="2" t="s">
        <v>52</v>
      </c>
      <c r="G411" s="2" t="s">
        <v>16</v>
      </c>
      <c r="H411" s="11">
        <v>3.9662905162064801</v>
      </c>
      <c r="I411" s="7">
        <v>0.13206722689075601</v>
      </c>
      <c r="J411" s="11">
        <v>2.5690276110439399E-2</v>
      </c>
      <c r="K411" s="2" t="s">
        <v>17</v>
      </c>
      <c r="L411" s="2" t="str">
        <f>_xlfn.XLOOKUP(D411,Products!A:A,Products!B:B)</f>
        <v>Mixer Grinder</v>
      </c>
      <c r="M411" s="2" t="str">
        <f>_xlfn.XLOOKUP(D411,Products!A:A,Products!C:C)</f>
        <v>Home Appliances</v>
      </c>
      <c r="N411" s="2" t="str">
        <f>_xlfn.XLOOKUP(D411,Products!A:A,Products!D:D)</f>
        <v>Philips</v>
      </c>
      <c r="O411" s="2">
        <f>_xlfn.XLOOKUP(D411,Products!A:A,Products!E:E)</f>
        <v>2800</v>
      </c>
      <c r="P411" s="2">
        <f>_xlfn.XLOOKUP(D411,Products!A:A,Products!F:F)</f>
        <v>4800</v>
      </c>
      <c r="Q411" s="11">
        <f t="shared" si="30"/>
        <v>19038.194477791105</v>
      </c>
      <c r="R411" s="11">
        <f t="shared" si="31"/>
        <v>2514.321549688776</v>
      </c>
      <c r="S411" s="11">
        <f t="shared" si="32"/>
        <v>16523.87292810233</v>
      </c>
      <c r="T411" s="11">
        <f t="shared" si="33"/>
        <v>11105.613445378145</v>
      </c>
      <c r="U411" s="11">
        <f t="shared" si="34"/>
        <v>5418.2594827241846</v>
      </c>
    </row>
    <row r="412" spans="1:21" x14ac:dyDescent="0.3">
      <c r="A412" s="2" t="s">
        <v>464</v>
      </c>
      <c r="B412" s="6">
        <v>46126</v>
      </c>
      <c r="C412" s="2" t="s">
        <v>62</v>
      </c>
      <c r="D412" s="2" t="s">
        <v>43</v>
      </c>
      <c r="E412" s="2" t="s">
        <v>27</v>
      </c>
      <c r="F412" s="2" t="s">
        <v>22</v>
      </c>
      <c r="G412" s="2" t="s">
        <v>23</v>
      </c>
      <c r="H412" s="11">
        <v>3.9698439375750301</v>
      </c>
      <c r="I412" s="7">
        <v>0.13221512605041999</v>
      </c>
      <c r="J412" s="11">
        <v>1.36374549819891E-2</v>
      </c>
      <c r="K412" s="2" t="s">
        <v>17</v>
      </c>
      <c r="L412" s="2" t="str">
        <f>_xlfn.XLOOKUP(D412,Products!A:A,Products!B:B)</f>
        <v>Smartphone</v>
      </c>
      <c r="M412" s="2" t="str">
        <f>_xlfn.XLOOKUP(D412,Products!A:A,Products!C:C)</f>
        <v>Electronics</v>
      </c>
      <c r="N412" s="2" t="str">
        <f>_xlfn.XLOOKUP(D412,Products!A:A,Products!D:D)</f>
        <v>Samsung</v>
      </c>
      <c r="O412" s="2">
        <f>_xlfn.XLOOKUP(D412,Products!A:A,Products!E:E)</f>
        <v>14000</v>
      </c>
      <c r="P412" s="2">
        <f>_xlfn.XLOOKUP(D412,Products!A:A,Products!F:F)</f>
        <v>22000</v>
      </c>
      <c r="Q412" s="11">
        <f t="shared" si="30"/>
        <v>87336.56662665066</v>
      </c>
      <c r="R412" s="11">
        <f t="shared" si="31"/>
        <v>11547.21516535352</v>
      </c>
      <c r="S412" s="11">
        <f t="shared" si="32"/>
        <v>75789.351461297134</v>
      </c>
      <c r="T412" s="11">
        <f t="shared" si="33"/>
        <v>55577.815126050424</v>
      </c>
      <c r="U412" s="11">
        <f t="shared" si="34"/>
        <v>20211.53633524671</v>
      </c>
    </row>
    <row r="413" spans="1:21" x14ac:dyDescent="0.3">
      <c r="A413" s="2" t="s">
        <v>465</v>
      </c>
      <c r="B413" s="6">
        <v>46126</v>
      </c>
      <c r="C413" s="2" t="s">
        <v>64</v>
      </c>
      <c r="D413" s="2" t="s">
        <v>51</v>
      </c>
      <c r="E413" s="2" t="s">
        <v>21</v>
      </c>
      <c r="F413" s="2" t="s">
        <v>15</v>
      </c>
      <c r="G413" s="2" t="s">
        <v>29</v>
      </c>
      <c r="H413" s="11">
        <v>3.9733973589435698</v>
      </c>
      <c r="I413" s="7">
        <v>0.132363025210084</v>
      </c>
      <c r="J413" s="11">
        <v>1.5846338535396901E-3</v>
      </c>
      <c r="K413" s="2" t="s">
        <v>48</v>
      </c>
      <c r="L413" s="2" t="str">
        <f>_xlfn.XLOOKUP(D413,Products!A:A,Products!B:B)</f>
        <v>Shirt</v>
      </c>
      <c r="M413" s="2" t="str">
        <f>_xlfn.XLOOKUP(D413,Products!A:A,Products!C:C)</f>
        <v>Clothing</v>
      </c>
      <c r="N413" s="2" t="str">
        <f>_xlfn.XLOOKUP(D413,Products!A:A,Products!D:D)</f>
        <v>Levis</v>
      </c>
      <c r="O413" s="2">
        <f>_xlfn.XLOOKUP(D413,Products!A:A,Products!E:E)</f>
        <v>700</v>
      </c>
      <c r="P413" s="2">
        <f>_xlfn.XLOOKUP(D413,Products!A:A,Products!F:F)</f>
        <v>1500</v>
      </c>
      <c r="Q413" s="11">
        <f t="shared" si="30"/>
        <v>5960.096038415355</v>
      </c>
      <c r="R413" s="11">
        <f t="shared" si="31"/>
        <v>788.89634218729338</v>
      </c>
      <c r="S413" s="11">
        <f t="shared" si="32"/>
        <v>5171.1996962280618</v>
      </c>
      <c r="T413" s="11">
        <f t="shared" si="33"/>
        <v>2781.3781512604987</v>
      </c>
      <c r="U413" s="11">
        <f t="shared" si="34"/>
        <v>2389.8215449675631</v>
      </c>
    </row>
    <row r="414" spans="1:21" x14ac:dyDescent="0.3">
      <c r="A414" s="2" t="s">
        <v>466</v>
      </c>
      <c r="B414" s="6">
        <v>46127</v>
      </c>
      <c r="C414" s="2" t="s">
        <v>66</v>
      </c>
      <c r="D414" s="2" t="s">
        <v>55</v>
      </c>
      <c r="E414" s="2" t="s">
        <v>38</v>
      </c>
      <c r="F414" s="2" t="s">
        <v>39</v>
      </c>
      <c r="G414" s="2" t="s">
        <v>16</v>
      </c>
      <c r="H414" s="11">
        <v>3.9769507803121198</v>
      </c>
      <c r="I414" s="7">
        <v>0.13251092436974801</v>
      </c>
      <c r="J414" s="11">
        <v>1.04681872749106E-2</v>
      </c>
      <c r="K414" s="2" t="s">
        <v>17</v>
      </c>
      <c r="L414" s="2" t="str">
        <f>_xlfn.XLOOKUP(D414,Products!A:A,Products!B:B)</f>
        <v>Sports Shoes</v>
      </c>
      <c r="M414" s="2" t="str">
        <f>_xlfn.XLOOKUP(D414,Products!A:A,Products!C:C)</f>
        <v>Sports</v>
      </c>
      <c r="N414" s="2" t="str">
        <f>_xlfn.XLOOKUP(D414,Products!A:A,Products!D:D)</f>
        <v>Nike</v>
      </c>
      <c r="O414" s="2">
        <f>_xlfn.XLOOKUP(D414,Products!A:A,Products!E:E)</f>
        <v>2200</v>
      </c>
      <c r="P414" s="2">
        <f>_xlfn.XLOOKUP(D414,Products!A:A,Products!F:F)</f>
        <v>4500</v>
      </c>
      <c r="Q414" s="11">
        <f t="shared" si="30"/>
        <v>17896.27851140454</v>
      </c>
      <c r="R414" s="11">
        <f t="shared" si="31"/>
        <v>2371.4524083246733</v>
      </c>
      <c r="S414" s="11">
        <f t="shared" si="32"/>
        <v>15524.826103079868</v>
      </c>
      <c r="T414" s="11">
        <f t="shared" si="33"/>
        <v>8749.2917166866628</v>
      </c>
      <c r="U414" s="11">
        <f t="shared" si="34"/>
        <v>6775.5343863932048</v>
      </c>
    </row>
    <row r="415" spans="1:21" x14ac:dyDescent="0.3">
      <c r="A415" s="2" t="s">
        <v>467</v>
      </c>
      <c r="B415" s="6">
        <v>46127</v>
      </c>
      <c r="C415" s="2" t="s">
        <v>68</v>
      </c>
      <c r="D415" s="2" t="s">
        <v>58</v>
      </c>
      <c r="E415" s="2" t="s">
        <v>44</v>
      </c>
      <c r="F415" s="2" t="s">
        <v>41</v>
      </c>
      <c r="G415" s="2" t="s">
        <v>23</v>
      </c>
      <c r="H415" s="11">
        <v>3.9805042016806702</v>
      </c>
      <c r="I415" s="7">
        <v>0.132658823529412</v>
      </c>
      <c r="J415" s="11">
        <v>2.2521008403360899E-2</v>
      </c>
      <c r="K415" s="2" t="s">
        <v>17</v>
      </c>
      <c r="L415" s="2" t="str">
        <f>_xlfn.XLOOKUP(D415,Products!A:A,Products!B:B)</f>
        <v>Study Table</v>
      </c>
      <c r="M415" s="2" t="str">
        <f>_xlfn.XLOOKUP(D415,Products!A:A,Products!C:C)</f>
        <v>Furniture</v>
      </c>
      <c r="N415" s="2" t="str">
        <f>_xlfn.XLOOKUP(D415,Products!A:A,Products!D:D)</f>
        <v>Ikea</v>
      </c>
      <c r="O415" s="2">
        <f>_xlfn.XLOOKUP(D415,Products!A:A,Products!E:E)</f>
        <v>5000</v>
      </c>
      <c r="P415" s="2">
        <f>_xlfn.XLOOKUP(D415,Products!A:A,Products!F:F)</f>
        <v>8500</v>
      </c>
      <c r="Q415" s="11">
        <f t="shared" si="30"/>
        <v>33834.285714285696</v>
      </c>
      <c r="R415" s="11">
        <f t="shared" si="31"/>
        <v>4488.4165378151311</v>
      </c>
      <c r="S415" s="11">
        <f t="shared" si="32"/>
        <v>29345.869176470565</v>
      </c>
      <c r="T415" s="11">
        <f t="shared" si="33"/>
        <v>19902.52100840335</v>
      </c>
      <c r="U415" s="11">
        <f t="shared" si="34"/>
        <v>9443.3481680672157</v>
      </c>
    </row>
    <row r="416" spans="1:21" x14ac:dyDescent="0.3">
      <c r="A416" s="2" t="s">
        <v>468</v>
      </c>
      <c r="B416" s="6">
        <v>46128</v>
      </c>
      <c r="C416" s="2" t="s">
        <v>12</v>
      </c>
      <c r="D416" s="2" t="s">
        <v>13</v>
      </c>
      <c r="E416" s="2" t="s">
        <v>14</v>
      </c>
      <c r="F416" s="2" t="s">
        <v>15</v>
      </c>
      <c r="G416" s="2" t="s">
        <v>16</v>
      </c>
      <c r="H416" s="11">
        <v>3.9840576230492202</v>
      </c>
      <c r="I416" s="7">
        <v>0.13280672268907601</v>
      </c>
      <c r="J416" s="11">
        <v>3.4573829531810298E-2</v>
      </c>
      <c r="K416" s="2" t="s">
        <v>17</v>
      </c>
      <c r="L416" s="2" t="str">
        <f>_xlfn.XLOOKUP(D416,Products!A:A,Products!B:B)</f>
        <v>Laptop</v>
      </c>
      <c r="M416" s="2" t="str">
        <f>_xlfn.XLOOKUP(D416,Products!A:A,Products!C:C)</f>
        <v>Electronics</v>
      </c>
      <c r="N416" s="2" t="str">
        <f>_xlfn.XLOOKUP(D416,Products!A:A,Products!D:D)</f>
        <v>HP</v>
      </c>
      <c r="O416" s="2">
        <f>_xlfn.XLOOKUP(D416,Products!A:A,Products!E:E)</f>
        <v>42000</v>
      </c>
      <c r="P416" s="2">
        <f>_xlfn.XLOOKUP(D416,Products!A:A,Products!F:F)</f>
        <v>55000</v>
      </c>
      <c r="Q416" s="11">
        <f t="shared" si="30"/>
        <v>219123.1692677071</v>
      </c>
      <c r="R416" s="11">
        <f t="shared" si="31"/>
        <v>29101.029975687838</v>
      </c>
      <c r="S416" s="11">
        <f t="shared" si="32"/>
        <v>190022.13929201924</v>
      </c>
      <c r="T416" s="11">
        <f t="shared" si="33"/>
        <v>167330.42016806724</v>
      </c>
      <c r="U416" s="11">
        <f t="shared" si="34"/>
        <v>22691.719123952003</v>
      </c>
    </row>
    <row r="417" spans="1:21" x14ac:dyDescent="0.3">
      <c r="A417" s="2" t="s">
        <v>469</v>
      </c>
      <c r="B417" s="6">
        <v>46128</v>
      </c>
      <c r="C417" s="2" t="s">
        <v>19</v>
      </c>
      <c r="D417" s="2" t="s">
        <v>37</v>
      </c>
      <c r="E417" s="2" t="s">
        <v>27</v>
      </c>
      <c r="F417" s="2" t="s">
        <v>22</v>
      </c>
      <c r="G417" s="2" t="s">
        <v>29</v>
      </c>
      <c r="H417" s="11">
        <v>3.9876110444177599</v>
      </c>
      <c r="I417" s="7">
        <v>0.13295462184873999</v>
      </c>
      <c r="J417" s="11">
        <v>4.66266506602704E-2</v>
      </c>
      <c r="K417" s="2" t="s">
        <v>30</v>
      </c>
      <c r="L417" s="2" t="str">
        <f>_xlfn.XLOOKUP(D417,Products!A:A,Products!B:B)</f>
        <v>Headphones</v>
      </c>
      <c r="M417" s="2" t="str">
        <f>_xlfn.XLOOKUP(D417,Products!A:A,Products!C:C)</f>
        <v>Electronics</v>
      </c>
      <c r="N417" s="2" t="str">
        <f>_xlfn.XLOOKUP(D417,Products!A:A,Products!D:D)</f>
        <v>Sony</v>
      </c>
      <c r="O417" s="2">
        <f>_xlfn.XLOOKUP(D417,Products!A:A,Products!E:E)</f>
        <v>1800</v>
      </c>
      <c r="P417" s="2">
        <f>_xlfn.XLOOKUP(D417,Products!A:A,Products!F:F)</f>
        <v>3200</v>
      </c>
      <c r="Q417" s="11">
        <f t="shared" si="30"/>
        <v>12760.355342136832</v>
      </c>
      <c r="R417" s="11">
        <f t="shared" si="31"/>
        <v>1696.5482191693518</v>
      </c>
      <c r="S417" s="11">
        <f t="shared" si="32"/>
        <v>11063.807122967481</v>
      </c>
      <c r="T417" s="11">
        <f t="shared" si="33"/>
        <v>7177.6998799519679</v>
      </c>
      <c r="U417" s="11">
        <f t="shared" si="34"/>
        <v>3886.1072430155127</v>
      </c>
    </row>
    <row r="418" spans="1:21" x14ac:dyDescent="0.3">
      <c r="A418" s="2" t="s">
        <v>470</v>
      </c>
      <c r="B418" s="6">
        <v>46129</v>
      </c>
      <c r="C418" s="2" t="s">
        <v>25</v>
      </c>
      <c r="D418" s="2" t="s">
        <v>20</v>
      </c>
      <c r="E418" s="2" t="s">
        <v>21</v>
      </c>
      <c r="F418" s="2" t="s">
        <v>39</v>
      </c>
      <c r="G418" s="2" t="s">
        <v>23</v>
      </c>
      <c r="H418" s="11">
        <v>3.9911644657863099</v>
      </c>
      <c r="I418" s="7">
        <v>0.133102521008403</v>
      </c>
      <c r="J418" s="11">
        <v>5.8679471788720697E-2</v>
      </c>
      <c r="K418" s="2" t="s">
        <v>17</v>
      </c>
      <c r="L418" s="2" t="str">
        <f>_xlfn.XLOOKUP(D418,Products!A:A,Products!B:B)</f>
        <v>Jeans</v>
      </c>
      <c r="M418" s="2" t="str">
        <f>_xlfn.XLOOKUP(D418,Products!A:A,Products!C:C)</f>
        <v>Clothing</v>
      </c>
      <c r="N418" s="2" t="str">
        <f>_xlfn.XLOOKUP(D418,Products!A:A,Products!D:D)</f>
        <v>Wrangler</v>
      </c>
      <c r="O418" s="2">
        <f>_xlfn.XLOOKUP(D418,Products!A:A,Products!E:E)</f>
        <v>1100</v>
      </c>
      <c r="P418" s="2">
        <f>_xlfn.XLOOKUP(D418,Products!A:A,Products!F:F)</f>
        <v>2200</v>
      </c>
      <c r="Q418" s="11">
        <f t="shared" si="30"/>
        <v>8780.5618247298826</v>
      </c>
      <c r="R418" s="11">
        <f t="shared" si="31"/>
        <v>1168.7149147416906</v>
      </c>
      <c r="S418" s="11">
        <f t="shared" si="32"/>
        <v>7611.8469099881922</v>
      </c>
      <c r="T418" s="11">
        <f t="shared" si="33"/>
        <v>4390.2809123649413</v>
      </c>
      <c r="U418" s="11">
        <f t="shared" si="34"/>
        <v>3221.565997623251</v>
      </c>
    </row>
    <row r="419" spans="1:21" x14ac:dyDescent="0.3">
      <c r="A419" s="2" t="s">
        <v>471</v>
      </c>
      <c r="B419" s="6">
        <v>46129</v>
      </c>
      <c r="C419" s="2" t="s">
        <v>32</v>
      </c>
      <c r="D419" s="2" t="s">
        <v>40</v>
      </c>
      <c r="E419" s="2" t="s">
        <v>38</v>
      </c>
      <c r="F419" s="2" t="s">
        <v>15</v>
      </c>
      <c r="G419" s="2" t="s">
        <v>16</v>
      </c>
      <c r="H419" s="11">
        <v>3.9947178871548599</v>
      </c>
      <c r="I419" s="7">
        <v>0.13325042016806701</v>
      </c>
      <c r="J419" s="11">
        <v>7.0732292917170106E-2</v>
      </c>
      <c r="K419" s="2" t="s">
        <v>17</v>
      </c>
      <c r="L419" s="2" t="str">
        <f>_xlfn.XLOOKUP(D419,Products!A:A,Products!B:B)</f>
        <v>Office Chair</v>
      </c>
      <c r="M419" s="2" t="str">
        <f>_xlfn.XLOOKUP(D419,Products!A:A,Products!C:C)</f>
        <v>Furniture</v>
      </c>
      <c r="N419" s="2" t="str">
        <f>_xlfn.XLOOKUP(D419,Products!A:A,Products!D:D)</f>
        <v>Featherlite</v>
      </c>
      <c r="O419" s="2">
        <f>_xlfn.XLOOKUP(D419,Products!A:A,Products!E:E)</f>
        <v>4500</v>
      </c>
      <c r="P419" s="2">
        <f>_xlfn.XLOOKUP(D419,Products!A:A,Products!F:F)</f>
        <v>7500</v>
      </c>
      <c r="Q419" s="11">
        <f t="shared" si="30"/>
        <v>29960.384153661449</v>
      </c>
      <c r="R419" s="11">
        <f t="shared" si="31"/>
        <v>3992.2337768720849</v>
      </c>
      <c r="S419" s="11">
        <f t="shared" si="32"/>
        <v>25968.150376789363</v>
      </c>
      <c r="T419" s="11">
        <f t="shared" si="33"/>
        <v>17976.230492196868</v>
      </c>
      <c r="U419" s="11">
        <f t="shared" si="34"/>
        <v>7991.9198845924948</v>
      </c>
    </row>
    <row r="420" spans="1:21" x14ac:dyDescent="0.3">
      <c r="A420" s="2" t="s">
        <v>472</v>
      </c>
      <c r="B420" s="6">
        <v>46130</v>
      </c>
      <c r="C420" s="2" t="s">
        <v>34</v>
      </c>
      <c r="D420" s="2" t="s">
        <v>26</v>
      </c>
      <c r="E420" s="2" t="s">
        <v>44</v>
      </c>
      <c r="F420" s="2" t="s">
        <v>22</v>
      </c>
      <c r="G420" s="2" t="s">
        <v>42</v>
      </c>
      <c r="H420" s="11">
        <v>3.9982713085234098</v>
      </c>
      <c r="I420" s="7">
        <v>0.133398319327731</v>
      </c>
      <c r="J420" s="11">
        <v>8.2785114045620403E-2</v>
      </c>
      <c r="K420" s="2" t="s">
        <v>17</v>
      </c>
      <c r="L420" s="2" t="str">
        <f>_xlfn.XLOOKUP(D420,Products!A:A,Products!B:B)</f>
        <v>Face Wash</v>
      </c>
      <c r="M420" s="2" t="str">
        <f>_xlfn.XLOOKUP(D420,Products!A:A,Products!C:C)</f>
        <v>Beauty</v>
      </c>
      <c r="N420" s="2" t="str">
        <f>_xlfn.XLOOKUP(D420,Products!A:A,Products!D:D)</f>
        <v>Nivea</v>
      </c>
      <c r="O420" s="2">
        <f>_xlfn.XLOOKUP(D420,Products!A:A,Products!E:E)</f>
        <v>180</v>
      </c>
      <c r="P420" s="2">
        <f>_xlfn.XLOOKUP(D420,Products!A:A,Products!F:F)</f>
        <v>350</v>
      </c>
      <c r="Q420" s="11">
        <f t="shared" si="30"/>
        <v>1399.3949579831935</v>
      </c>
      <c r="R420" s="11">
        <f t="shared" si="31"/>
        <v>186.67693547065875</v>
      </c>
      <c r="S420" s="11">
        <f t="shared" si="32"/>
        <v>1212.7180225125348</v>
      </c>
      <c r="T420" s="11">
        <f t="shared" si="33"/>
        <v>719.68883553421381</v>
      </c>
      <c r="U420" s="11">
        <f t="shared" si="34"/>
        <v>493.02918697832104</v>
      </c>
    </row>
    <row r="421" spans="1:21" x14ac:dyDescent="0.3">
      <c r="A421" s="2" t="s">
        <v>473</v>
      </c>
      <c r="B421" s="6">
        <v>46130</v>
      </c>
      <c r="C421" s="2" t="s">
        <v>36</v>
      </c>
      <c r="D421" s="2" t="s">
        <v>47</v>
      </c>
      <c r="E421" s="2" t="s">
        <v>14</v>
      </c>
      <c r="F421" s="2" t="s">
        <v>41</v>
      </c>
      <c r="G421" s="2" t="s">
        <v>23</v>
      </c>
      <c r="H421" s="11">
        <v>4.0018247298919496</v>
      </c>
      <c r="I421" s="7">
        <v>0.13354621848739501</v>
      </c>
      <c r="J421" s="11">
        <v>9.4837935174070701E-2</v>
      </c>
      <c r="K421" s="2" t="s">
        <v>17</v>
      </c>
      <c r="L421" s="2" t="str">
        <f>_xlfn.XLOOKUP(D421,Products!A:A,Products!B:B)</f>
        <v>Mixer Grinder</v>
      </c>
      <c r="M421" s="2" t="str">
        <f>_xlfn.XLOOKUP(D421,Products!A:A,Products!C:C)</f>
        <v>Home Appliances</v>
      </c>
      <c r="N421" s="2" t="str">
        <f>_xlfn.XLOOKUP(D421,Products!A:A,Products!D:D)</f>
        <v>Philips</v>
      </c>
      <c r="O421" s="2">
        <f>_xlfn.XLOOKUP(D421,Products!A:A,Products!E:E)</f>
        <v>2800</v>
      </c>
      <c r="P421" s="2">
        <f>_xlfn.XLOOKUP(D421,Products!A:A,Products!F:F)</f>
        <v>4800</v>
      </c>
      <c r="Q421" s="11">
        <f t="shared" si="30"/>
        <v>19208.758703481359</v>
      </c>
      <c r="R421" s="11">
        <f t="shared" si="31"/>
        <v>2565.2570866867718</v>
      </c>
      <c r="S421" s="11">
        <f t="shared" si="32"/>
        <v>16643.501616794587</v>
      </c>
      <c r="T421" s="11">
        <f t="shared" si="33"/>
        <v>11205.10924369746</v>
      </c>
      <c r="U421" s="11">
        <f t="shared" si="34"/>
        <v>5438.3923730971273</v>
      </c>
    </row>
    <row r="422" spans="1:21" x14ac:dyDescent="0.3">
      <c r="A422" s="2" t="s">
        <v>474</v>
      </c>
      <c r="B422" s="6">
        <v>46131</v>
      </c>
      <c r="C422" s="2" t="s">
        <v>46</v>
      </c>
      <c r="D422" s="2" t="s">
        <v>43</v>
      </c>
      <c r="E422" s="2" t="s">
        <v>27</v>
      </c>
      <c r="F422" s="2" t="s">
        <v>15</v>
      </c>
      <c r="G422" s="2" t="s">
        <v>16</v>
      </c>
      <c r="H422" s="11">
        <v>4.0053781512604996</v>
      </c>
      <c r="I422" s="7">
        <v>0.13369411764705899</v>
      </c>
      <c r="J422" s="11">
        <v>0.10689075630252</v>
      </c>
      <c r="K422" s="2" t="s">
        <v>17</v>
      </c>
      <c r="L422" s="2" t="str">
        <f>_xlfn.XLOOKUP(D422,Products!A:A,Products!B:B)</f>
        <v>Smartphone</v>
      </c>
      <c r="M422" s="2" t="str">
        <f>_xlfn.XLOOKUP(D422,Products!A:A,Products!C:C)</f>
        <v>Electronics</v>
      </c>
      <c r="N422" s="2" t="str">
        <f>_xlfn.XLOOKUP(D422,Products!A:A,Products!D:D)</f>
        <v>Samsung</v>
      </c>
      <c r="O422" s="2">
        <f>_xlfn.XLOOKUP(D422,Products!A:A,Products!E:E)</f>
        <v>14000</v>
      </c>
      <c r="P422" s="2">
        <f>_xlfn.XLOOKUP(D422,Products!A:A,Products!F:F)</f>
        <v>22000</v>
      </c>
      <c r="Q422" s="11">
        <f t="shared" si="30"/>
        <v>88118.319327730991</v>
      </c>
      <c r="R422" s="11">
        <f t="shared" si="31"/>
        <v>11780.900951062778</v>
      </c>
      <c r="S422" s="11">
        <f t="shared" si="32"/>
        <v>76337.418376668211</v>
      </c>
      <c r="T422" s="11">
        <f t="shared" si="33"/>
        <v>56075.29411764699</v>
      </c>
      <c r="U422" s="11">
        <f t="shared" si="34"/>
        <v>20262.12425902122</v>
      </c>
    </row>
    <row r="423" spans="1:21" x14ac:dyDescent="0.3">
      <c r="A423" s="2" t="s">
        <v>475</v>
      </c>
      <c r="B423" s="6">
        <v>46131</v>
      </c>
      <c r="C423" s="2" t="s">
        <v>50</v>
      </c>
      <c r="D423" s="2" t="s">
        <v>51</v>
      </c>
      <c r="E423" s="2" t="s">
        <v>21</v>
      </c>
      <c r="F423" s="2" t="s">
        <v>52</v>
      </c>
      <c r="G423" s="2" t="s">
        <v>29</v>
      </c>
      <c r="H423" s="11">
        <v>4.0089315726290504</v>
      </c>
      <c r="I423" s="7">
        <v>0.133842016806723</v>
      </c>
      <c r="J423" s="11">
        <v>0.11894357743097</v>
      </c>
      <c r="K423" s="2" t="s">
        <v>30</v>
      </c>
      <c r="L423" s="2" t="str">
        <f>_xlfn.XLOOKUP(D423,Products!A:A,Products!B:B)</f>
        <v>Shirt</v>
      </c>
      <c r="M423" s="2" t="str">
        <f>_xlfn.XLOOKUP(D423,Products!A:A,Products!C:C)</f>
        <v>Clothing</v>
      </c>
      <c r="N423" s="2" t="str">
        <f>_xlfn.XLOOKUP(D423,Products!A:A,Products!D:D)</f>
        <v>Levis</v>
      </c>
      <c r="O423" s="2">
        <f>_xlfn.XLOOKUP(D423,Products!A:A,Products!E:E)</f>
        <v>700</v>
      </c>
      <c r="P423" s="2">
        <f>_xlfn.XLOOKUP(D423,Products!A:A,Products!F:F)</f>
        <v>1500</v>
      </c>
      <c r="Q423" s="11">
        <f t="shared" si="30"/>
        <v>6013.3973589435755</v>
      </c>
      <c r="R423" s="11">
        <f t="shared" si="31"/>
        <v>804.84523038122973</v>
      </c>
      <c r="S423" s="11">
        <f t="shared" si="32"/>
        <v>5208.5521285623454</v>
      </c>
      <c r="T423" s="11">
        <f t="shared" si="33"/>
        <v>2806.2521008403355</v>
      </c>
      <c r="U423" s="11">
        <f t="shared" si="34"/>
        <v>2402.3000277220099</v>
      </c>
    </row>
    <row r="424" spans="1:21" x14ac:dyDescent="0.3">
      <c r="A424" s="2" t="s">
        <v>476</v>
      </c>
      <c r="B424" s="6">
        <v>46132</v>
      </c>
      <c r="C424" s="2" t="s">
        <v>54</v>
      </c>
      <c r="D424" s="2" t="s">
        <v>55</v>
      </c>
      <c r="E424" s="2" t="s">
        <v>38</v>
      </c>
      <c r="F424" s="2" t="s">
        <v>22</v>
      </c>
      <c r="G424" s="2" t="s">
        <v>16</v>
      </c>
      <c r="H424" s="11">
        <v>4.0124849939975897</v>
      </c>
      <c r="I424" s="7">
        <v>0.13398991596638701</v>
      </c>
      <c r="J424" s="11">
        <v>0.13099639855942999</v>
      </c>
      <c r="K424" s="2" t="s">
        <v>17</v>
      </c>
      <c r="L424" s="2" t="str">
        <f>_xlfn.XLOOKUP(D424,Products!A:A,Products!B:B)</f>
        <v>Sports Shoes</v>
      </c>
      <c r="M424" s="2" t="str">
        <f>_xlfn.XLOOKUP(D424,Products!A:A,Products!C:C)</f>
        <v>Sports</v>
      </c>
      <c r="N424" s="2" t="str">
        <f>_xlfn.XLOOKUP(D424,Products!A:A,Products!D:D)</f>
        <v>Nike</v>
      </c>
      <c r="O424" s="2">
        <f>_xlfn.XLOOKUP(D424,Products!A:A,Products!E:E)</f>
        <v>2200</v>
      </c>
      <c r="P424" s="2">
        <f>_xlfn.XLOOKUP(D424,Products!A:A,Products!F:F)</f>
        <v>4500</v>
      </c>
      <c r="Q424" s="11">
        <f t="shared" si="30"/>
        <v>18056.182472989152</v>
      </c>
      <c r="R424" s="11">
        <f t="shared" si="31"/>
        <v>2419.3463722295664</v>
      </c>
      <c r="S424" s="11">
        <f t="shared" si="32"/>
        <v>15636.836100759585</v>
      </c>
      <c r="T424" s="11">
        <f t="shared" si="33"/>
        <v>8827.4669867946977</v>
      </c>
      <c r="U424" s="11">
        <f t="shared" si="34"/>
        <v>6809.3691139648872</v>
      </c>
    </row>
    <row r="425" spans="1:21" x14ac:dyDescent="0.3">
      <c r="A425" s="2" t="s">
        <v>477</v>
      </c>
      <c r="B425" s="6">
        <v>46132</v>
      </c>
      <c r="C425" s="2" t="s">
        <v>57</v>
      </c>
      <c r="D425" s="2" t="s">
        <v>58</v>
      </c>
      <c r="E425" s="2" t="s">
        <v>44</v>
      </c>
      <c r="F425" s="2" t="s">
        <v>15</v>
      </c>
      <c r="G425" s="2" t="s">
        <v>23</v>
      </c>
      <c r="H425" s="11">
        <v>4.0160384153661397</v>
      </c>
      <c r="I425" s="7">
        <v>0.13413781512605</v>
      </c>
      <c r="J425" s="11">
        <v>0.14304921968788101</v>
      </c>
      <c r="K425" s="2" t="s">
        <v>17</v>
      </c>
      <c r="L425" s="2" t="str">
        <f>_xlfn.XLOOKUP(D425,Products!A:A,Products!B:B)</f>
        <v>Study Table</v>
      </c>
      <c r="M425" s="2" t="str">
        <f>_xlfn.XLOOKUP(D425,Products!A:A,Products!C:C)</f>
        <v>Furniture</v>
      </c>
      <c r="N425" s="2" t="str">
        <f>_xlfn.XLOOKUP(D425,Products!A:A,Products!D:D)</f>
        <v>Ikea</v>
      </c>
      <c r="O425" s="2">
        <f>_xlfn.XLOOKUP(D425,Products!A:A,Products!E:E)</f>
        <v>5000</v>
      </c>
      <c r="P425" s="2">
        <f>_xlfn.XLOOKUP(D425,Products!A:A,Products!F:F)</f>
        <v>8500</v>
      </c>
      <c r="Q425" s="11">
        <f t="shared" si="30"/>
        <v>34136.32653061219</v>
      </c>
      <c r="R425" s="11">
        <f t="shared" si="31"/>
        <v>4578.972257245734</v>
      </c>
      <c r="S425" s="11">
        <f t="shared" si="32"/>
        <v>29557.354273366458</v>
      </c>
      <c r="T425" s="11">
        <f t="shared" si="33"/>
        <v>20080.192076830699</v>
      </c>
      <c r="U425" s="11">
        <f t="shared" si="34"/>
        <v>9477.162196535759</v>
      </c>
    </row>
    <row r="426" spans="1:21" x14ac:dyDescent="0.3">
      <c r="A426" s="2" t="s">
        <v>478</v>
      </c>
      <c r="B426" s="6">
        <v>46133</v>
      </c>
      <c r="C426" s="2" t="s">
        <v>60</v>
      </c>
      <c r="D426" s="2" t="s">
        <v>13</v>
      </c>
      <c r="E426" s="2" t="s">
        <v>14</v>
      </c>
      <c r="F426" s="2" t="s">
        <v>39</v>
      </c>
      <c r="G426" s="2" t="s">
        <v>16</v>
      </c>
      <c r="H426" s="11">
        <v>4.0195918367346897</v>
      </c>
      <c r="I426" s="7">
        <v>0.13428571428571401</v>
      </c>
      <c r="J426" s="11">
        <v>0.15510204081633</v>
      </c>
      <c r="K426" s="2" t="s">
        <v>17</v>
      </c>
      <c r="L426" s="2" t="str">
        <f>_xlfn.XLOOKUP(D426,Products!A:A,Products!B:B)</f>
        <v>Laptop</v>
      </c>
      <c r="M426" s="2" t="str">
        <f>_xlfn.XLOOKUP(D426,Products!A:A,Products!C:C)</f>
        <v>Electronics</v>
      </c>
      <c r="N426" s="2" t="str">
        <f>_xlfn.XLOOKUP(D426,Products!A:A,Products!D:D)</f>
        <v>HP</v>
      </c>
      <c r="O426" s="2">
        <f>_xlfn.XLOOKUP(D426,Products!A:A,Products!E:E)</f>
        <v>42000</v>
      </c>
      <c r="P426" s="2">
        <f>_xlfn.XLOOKUP(D426,Products!A:A,Products!F:F)</f>
        <v>55000</v>
      </c>
      <c r="Q426" s="11">
        <f t="shared" si="30"/>
        <v>221077.55102040793</v>
      </c>
      <c r="R426" s="11">
        <f t="shared" si="31"/>
        <v>29687.55685131186</v>
      </c>
      <c r="S426" s="11">
        <f t="shared" si="32"/>
        <v>191389.99416909608</v>
      </c>
      <c r="T426" s="11">
        <f t="shared" si="33"/>
        <v>168822.85714285696</v>
      </c>
      <c r="U426" s="11">
        <f t="shared" si="34"/>
        <v>22567.137026239128</v>
      </c>
    </row>
    <row r="427" spans="1:21" x14ac:dyDescent="0.3">
      <c r="A427" s="2" t="s">
        <v>479</v>
      </c>
      <c r="B427" s="6">
        <v>46133</v>
      </c>
      <c r="C427" s="2" t="s">
        <v>62</v>
      </c>
      <c r="D427" s="2" t="s">
        <v>20</v>
      </c>
      <c r="E427" s="2" t="s">
        <v>27</v>
      </c>
      <c r="F427" s="2" t="s">
        <v>15</v>
      </c>
      <c r="G427" s="2" t="s">
        <v>29</v>
      </c>
      <c r="H427" s="11">
        <v>4.0231452581032396</v>
      </c>
      <c r="I427" s="7">
        <v>0.13443361344537799</v>
      </c>
      <c r="J427" s="11">
        <v>0.16715486194477999</v>
      </c>
      <c r="K427" s="2" t="s">
        <v>17</v>
      </c>
      <c r="L427" s="2" t="str">
        <f>_xlfn.XLOOKUP(D427,Products!A:A,Products!B:B)</f>
        <v>Jeans</v>
      </c>
      <c r="M427" s="2" t="str">
        <f>_xlfn.XLOOKUP(D427,Products!A:A,Products!C:C)</f>
        <v>Clothing</v>
      </c>
      <c r="N427" s="2" t="str">
        <f>_xlfn.XLOOKUP(D427,Products!A:A,Products!D:D)</f>
        <v>Wrangler</v>
      </c>
      <c r="O427" s="2">
        <f>_xlfn.XLOOKUP(D427,Products!A:A,Products!E:E)</f>
        <v>1100</v>
      </c>
      <c r="P427" s="2">
        <f>_xlfn.XLOOKUP(D427,Products!A:A,Products!F:F)</f>
        <v>2200</v>
      </c>
      <c r="Q427" s="11">
        <f t="shared" si="30"/>
        <v>8850.919567827128</v>
      </c>
      <c r="R427" s="11">
        <f t="shared" si="31"/>
        <v>1189.8610998174042</v>
      </c>
      <c r="S427" s="11">
        <f t="shared" si="32"/>
        <v>7661.0584680097236</v>
      </c>
      <c r="T427" s="11">
        <f t="shared" si="33"/>
        <v>4425.459783913564</v>
      </c>
      <c r="U427" s="11">
        <f t="shared" si="34"/>
        <v>3235.5986840961596</v>
      </c>
    </row>
    <row r="428" spans="1:21" x14ac:dyDescent="0.3">
      <c r="A428" s="2" t="s">
        <v>480</v>
      </c>
      <c r="B428" s="6">
        <v>46134</v>
      </c>
      <c r="C428" s="2" t="s">
        <v>64</v>
      </c>
      <c r="D428" s="2" t="s">
        <v>26</v>
      </c>
      <c r="E428" s="2" t="s">
        <v>21</v>
      </c>
      <c r="F428" s="2" t="s">
        <v>41</v>
      </c>
      <c r="G428" s="2" t="s">
        <v>23</v>
      </c>
      <c r="H428" s="11">
        <v>4.0266986794717798</v>
      </c>
      <c r="I428" s="7">
        <v>0.134581512605042</v>
      </c>
      <c r="J428" s="11">
        <v>0.17920768307323101</v>
      </c>
      <c r="K428" s="2" t="s">
        <v>17</v>
      </c>
      <c r="L428" s="2" t="str">
        <f>_xlfn.XLOOKUP(D428,Products!A:A,Products!B:B)</f>
        <v>Face Wash</v>
      </c>
      <c r="M428" s="2" t="str">
        <f>_xlfn.XLOOKUP(D428,Products!A:A,Products!C:C)</f>
        <v>Beauty</v>
      </c>
      <c r="N428" s="2" t="str">
        <f>_xlfn.XLOOKUP(D428,Products!A:A,Products!D:D)</f>
        <v>Nivea</v>
      </c>
      <c r="O428" s="2">
        <f>_xlfn.XLOOKUP(D428,Products!A:A,Products!E:E)</f>
        <v>180</v>
      </c>
      <c r="P428" s="2">
        <f>_xlfn.XLOOKUP(D428,Products!A:A,Products!F:F)</f>
        <v>350</v>
      </c>
      <c r="Q428" s="11">
        <f t="shared" si="30"/>
        <v>1409.344537815123</v>
      </c>
      <c r="R428" s="11">
        <f t="shared" si="31"/>
        <v>189.67171968081306</v>
      </c>
      <c r="S428" s="11">
        <f t="shared" si="32"/>
        <v>1219.6728181343099</v>
      </c>
      <c r="T428" s="11">
        <f t="shared" si="33"/>
        <v>724.80576230492034</v>
      </c>
      <c r="U428" s="11">
        <f t="shared" si="34"/>
        <v>494.86705582938953</v>
      </c>
    </row>
    <row r="429" spans="1:21" x14ac:dyDescent="0.3">
      <c r="A429" s="2" t="s">
        <v>481</v>
      </c>
      <c r="B429" s="6">
        <v>46134</v>
      </c>
      <c r="C429" s="2" t="s">
        <v>66</v>
      </c>
      <c r="D429" s="2" t="s">
        <v>37</v>
      </c>
      <c r="E429" s="2" t="s">
        <v>38</v>
      </c>
      <c r="F429" s="2" t="s">
        <v>22</v>
      </c>
      <c r="G429" s="2" t="s">
        <v>16</v>
      </c>
      <c r="H429" s="11">
        <v>4.0302521008403298</v>
      </c>
      <c r="I429" s="7">
        <v>0.13472941176470599</v>
      </c>
      <c r="J429" s="11">
        <v>0.19126050420168</v>
      </c>
      <c r="K429" s="2" t="s">
        <v>30</v>
      </c>
      <c r="L429" s="2" t="str">
        <f>_xlfn.XLOOKUP(D429,Products!A:A,Products!B:B)</f>
        <v>Headphones</v>
      </c>
      <c r="M429" s="2" t="str">
        <f>_xlfn.XLOOKUP(D429,Products!A:A,Products!C:C)</f>
        <v>Electronics</v>
      </c>
      <c r="N429" s="2" t="str">
        <f>_xlfn.XLOOKUP(D429,Products!A:A,Products!D:D)</f>
        <v>Sony</v>
      </c>
      <c r="O429" s="2">
        <f>_xlfn.XLOOKUP(D429,Products!A:A,Products!E:E)</f>
        <v>1800</v>
      </c>
      <c r="P429" s="2">
        <f>_xlfn.XLOOKUP(D429,Products!A:A,Products!F:F)</f>
        <v>3200</v>
      </c>
      <c r="Q429" s="11">
        <f t="shared" si="30"/>
        <v>12896.806722689056</v>
      </c>
      <c r="R429" s="11">
        <f t="shared" si="31"/>
        <v>1737.5791833910023</v>
      </c>
      <c r="S429" s="11">
        <f t="shared" si="32"/>
        <v>11159.227539298054</v>
      </c>
      <c r="T429" s="11">
        <f t="shared" si="33"/>
        <v>7254.4537815125941</v>
      </c>
      <c r="U429" s="11">
        <f t="shared" si="34"/>
        <v>3904.7737577854596</v>
      </c>
    </row>
    <row r="430" spans="1:21" x14ac:dyDescent="0.3">
      <c r="A430" s="2" t="s">
        <v>482</v>
      </c>
      <c r="B430" s="6">
        <v>46135</v>
      </c>
      <c r="C430" s="2" t="s">
        <v>68</v>
      </c>
      <c r="D430" s="2" t="s">
        <v>40</v>
      </c>
      <c r="E430" s="2" t="s">
        <v>44</v>
      </c>
      <c r="F430" s="2" t="s">
        <v>15</v>
      </c>
      <c r="G430" s="2" t="s">
        <v>42</v>
      </c>
      <c r="H430" s="11">
        <v>4.0338055222088798</v>
      </c>
      <c r="I430" s="7">
        <v>0.13487731092437</v>
      </c>
      <c r="J430" s="11">
        <v>0.20331332533013</v>
      </c>
      <c r="K430" s="2" t="s">
        <v>17</v>
      </c>
      <c r="L430" s="2" t="str">
        <f>_xlfn.XLOOKUP(D430,Products!A:A,Products!B:B)</f>
        <v>Office Chair</v>
      </c>
      <c r="M430" s="2" t="str">
        <f>_xlfn.XLOOKUP(D430,Products!A:A,Products!C:C)</f>
        <v>Furniture</v>
      </c>
      <c r="N430" s="2" t="str">
        <f>_xlfn.XLOOKUP(D430,Products!A:A,Products!D:D)</f>
        <v>Featherlite</v>
      </c>
      <c r="O430" s="2">
        <f>_xlfn.XLOOKUP(D430,Products!A:A,Products!E:E)</f>
        <v>4500</v>
      </c>
      <c r="P430" s="2">
        <f>_xlfn.XLOOKUP(D430,Products!A:A,Products!F:F)</f>
        <v>7500</v>
      </c>
      <c r="Q430" s="11">
        <f t="shared" si="30"/>
        <v>30253.541416566597</v>
      </c>
      <c r="R430" s="11">
        <f t="shared" si="31"/>
        <v>4080.5163122055578</v>
      </c>
      <c r="S430" s="11">
        <f t="shared" si="32"/>
        <v>26173.025104361041</v>
      </c>
      <c r="T430" s="11">
        <f t="shared" si="33"/>
        <v>18152.124849939959</v>
      </c>
      <c r="U430" s="11">
        <f t="shared" si="34"/>
        <v>8020.9002544210816</v>
      </c>
    </row>
    <row r="431" spans="1:21" x14ac:dyDescent="0.3">
      <c r="A431" s="2" t="s">
        <v>483</v>
      </c>
      <c r="B431" s="6">
        <v>46135</v>
      </c>
      <c r="C431" s="2" t="s">
        <v>12</v>
      </c>
      <c r="D431" s="2" t="s">
        <v>47</v>
      </c>
      <c r="E431" s="2" t="s">
        <v>14</v>
      </c>
      <c r="F431" s="2" t="s">
        <v>52</v>
      </c>
      <c r="G431" s="2" t="s">
        <v>16</v>
      </c>
      <c r="H431" s="11">
        <v>4.0373589435774297</v>
      </c>
      <c r="I431" s="7">
        <v>0.13502521008403401</v>
      </c>
      <c r="J431" s="11">
        <v>0.21536614645858099</v>
      </c>
      <c r="K431" s="2" t="s">
        <v>17</v>
      </c>
      <c r="L431" s="2" t="str">
        <f>_xlfn.XLOOKUP(D431,Products!A:A,Products!B:B)</f>
        <v>Mixer Grinder</v>
      </c>
      <c r="M431" s="2" t="str">
        <f>_xlfn.XLOOKUP(D431,Products!A:A,Products!C:C)</f>
        <v>Home Appliances</v>
      </c>
      <c r="N431" s="2" t="str">
        <f>_xlfn.XLOOKUP(D431,Products!A:A,Products!D:D)</f>
        <v>Philips</v>
      </c>
      <c r="O431" s="2">
        <f>_xlfn.XLOOKUP(D431,Products!A:A,Products!E:E)</f>
        <v>2800</v>
      </c>
      <c r="P431" s="2">
        <f>_xlfn.XLOOKUP(D431,Products!A:A,Products!F:F)</f>
        <v>4800</v>
      </c>
      <c r="Q431" s="11">
        <f t="shared" si="30"/>
        <v>19379.322929171663</v>
      </c>
      <c r="R431" s="11">
        <f t="shared" si="31"/>
        <v>2616.6971497977411</v>
      </c>
      <c r="S431" s="11">
        <f t="shared" si="32"/>
        <v>16762.625779373921</v>
      </c>
      <c r="T431" s="11">
        <f t="shared" si="33"/>
        <v>11304.605042016803</v>
      </c>
      <c r="U431" s="11">
        <f t="shared" si="34"/>
        <v>5458.0207373571175</v>
      </c>
    </row>
    <row r="432" spans="1:21" x14ac:dyDescent="0.3">
      <c r="A432" s="2" t="s">
        <v>484</v>
      </c>
      <c r="B432" s="6">
        <v>46136</v>
      </c>
      <c r="C432" s="2" t="s">
        <v>19</v>
      </c>
      <c r="D432" s="2" t="s">
        <v>43</v>
      </c>
      <c r="E432" s="2" t="s">
        <v>27</v>
      </c>
      <c r="F432" s="2" t="s">
        <v>22</v>
      </c>
      <c r="G432" s="2" t="s">
        <v>23</v>
      </c>
      <c r="H432" s="11">
        <v>4.0409123649459699</v>
      </c>
      <c r="I432" s="7">
        <v>0.13517310924369699</v>
      </c>
      <c r="J432" s="11">
        <v>0.227418967587041</v>
      </c>
      <c r="K432" s="2" t="s">
        <v>17</v>
      </c>
      <c r="L432" s="2" t="str">
        <f>_xlfn.XLOOKUP(D432,Products!A:A,Products!B:B)</f>
        <v>Smartphone</v>
      </c>
      <c r="M432" s="2" t="str">
        <f>_xlfn.XLOOKUP(D432,Products!A:A,Products!C:C)</f>
        <v>Electronics</v>
      </c>
      <c r="N432" s="2" t="str">
        <f>_xlfn.XLOOKUP(D432,Products!A:A,Products!D:D)</f>
        <v>Samsung</v>
      </c>
      <c r="O432" s="2">
        <f>_xlfn.XLOOKUP(D432,Products!A:A,Products!E:E)</f>
        <v>14000</v>
      </c>
      <c r="P432" s="2">
        <f>_xlfn.XLOOKUP(D432,Products!A:A,Products!F:F)</f>
        <v>22000</v>
      </c>
      <c r="Q432" s="11">
        <f t="shared" si="30"/>
        <v>88900.072028811337</v>
      </c>
      <c r="R432" s="11">
        <f t="shared" si="31"/>
        <v>12016.899148123046</v>
      </c>
      <c r="S432" s="11">
        <f t="shared" si="32"/>
        <v>76883.172880688289</v>
      </c>
      <c r="T432" s="11">
        <f t="shared" si="33"/>
        <v>56572.773109243579</v>
      </c>
      <c r="U432" s="11">
        <f t="shared" si="34"/>
        <v>20310.39977144471</v>
      </c>
    </row>
    <row r="433" spans="1:21" x14ac:dyDescent="0.3">
      <c r="A433" s="2" t="s">
        <v>485</v>
      </c>
      <c r="B433" s="6">
        <v>46136</v>
      </c>
      <c r="C433" s="2" t="s">
        <v>25</v>
      </c>
      <c r="D433" s="2" t="s">
        <v>51</v>
      </c>
      <c r="E433" s="2" t="s">
        <v>21</v>
      </c>
      <c r="F433" s="2" t="s">
        <v>15</v>
      </c>
      <c r="G433" s="2" t="s">
        <v>29</v>
      </c>
      <c r="H433" s="11">
        <v>4.0444657863145199</v>
      </c>
      <c r="I433" s="7">
        <v>0.135321008403361</v>
      </c>
      <c r="J433" s="11">
        <v>0.23947178871548999</v>
      </c>
      <c r="K433" s="2" t="s">
        <v>17</v>
      </c>
      <c r="L433" s="2" t="str">
        <f>_xlfn.XLOOKUP(D433,Products!A:A,Products!B:B)</f>
        <v>Shirt</v>
      </c>
      <c r="M433" s="2" t="str">
        <f>_xlfn.XLOOKUP(D433,Products!A:A,Products!C:C)</f>
        <v>Clothing</v>
      </c>
      <c r="N433" s="2" t="str">
        <f>_xlfn.XLOOKUP(D433,Products!A:A,Products!D:D)</f>
        <v>Levis</v>
      </c>
      <c r="O433" s="2">
        <f>_xlfn.XLOOKUP(D433,Products!A:A,Products!E:E)</f>
        <v>700</v>
      </c>
      <c r="P433" s="2">
        <f>_xlfn.XLOOKUP(D433,Products!A:A,Products!F:F)</f>
        <v>1500</v>
      </c>
      <c r="Q433" s="11">
        <f t="shared" si="30"/>
        <v>6066.6986794717795</v>
      </c>
      <c r="R433" s="11">
        <f t="shared" si="31"/>
        <v>820.95178298545977</v>
      </c>
      <c r="S433" s="11">
        <f t="shared" si="32"/>
        <v>5245.7468964863201</v>
      </c>
      <c r="T433" s="11">
        <f t="shared" si="33"/>
        <v>2831.1260504201641</v>
      </c>
      <c r="U433" s="11">
        <f t="shared" si="34"/>
        <v>2414.620846066156</v>
      </c>
    </row>
    <row r="434" spans="1:21" x14ac:dyDescent="0.3">
      <c r="A434" s="2" t="s">
        <v>486</v>
      </c>
      <c r="B434" s="6">
        <v>46137</v>
      </c>
      <c r="C434" s="2" t="s">
        <v>32</v>
      </c>
      <c r="D434" s="2" t="s">
        <v>55</v>
      </c>
      <c r="E434" s="2" t="s">
        <v>38</v>
      </c>
      <c r="F434" s="2" t="s">
        <v>39</v>
      </c>
      <c r="G434" s="2" t="s">
        <v>16</v>
      </c>
      <c r="H434" s="11">
        <v>4.0480192076830699</v>
      </c>
      <c r="I434" s="7">
        <v>0.13546890756302499</v>
      </c>
      <c r="J434" s="11">
        <v>0.25152460984394098</v>
      </c>
      <c r="K434" s="2" t="s">
        <v>17</v>
      </c>
      <c r="L434" s="2" t="str">
        <f>_xlfn.XLOOKUP(D434,Products!A:A,Products!B:B)</f>
        <v>Sports Shoes</v>
      </c>
      <c r="M434" s="2" t="str">
        <f>_xlfn.XLOOKUP(D434,Products!A:A,Products!C:C)</f>
        <v>Sports</v>
      </c>
      <c r="N434" s="2" t="str">
        <f>_xlfn.XLOOKUP(D434,Products!A:A,Products!D:D)</f>
        <v>Nike</v>
      </c>
      <c r="O434" s="2">
        <f>_xlfn.XLOOKUP(D434,Products!A:A,Products!E:E)</f>
        <v>2200</v>
      </c>
      <c r="P434" s="2">
        <f>_xlfn.XLOOKUP(D434,Products!A:A,Products!F:F)</f>
        <v>4500</v>
      </c>
      <c r="Q434" s="11">
        <f t="shared" si="30"/>
        <v>18216.086434573815</v>
      </c>
      <c r="R434" s="11">
        <f t="shared" si="31"/>
        <v>2467.7133293653537</v>
      </c>
      <c r="S434" s="11">
        <f t="shared" si="32"/>
        <v>15748.373105208462</v>
      </c>
      <c r="T434" s="11">
        <f t="shared" si="33"/>
        <v>8905.6422569027545</v>
      </c>
      <c r="U434" s="11">
        <f t="shared" si="34"/>
        <v>6842.7308483057077</v>
      </c>
    </row>
    <row r="435" spans="1:21" x14ac:dyDescent="0.3">
      <c r="A435" s="2" t="s">
        <v>487</v>
      </c>
      <c r="B435" s="6">
        <v>46137</v>
      </c>
      <c r="C435" s="2" t="s">
        <v>34</v>
      </c>
      <c r="D435" s="2" t="s">
        <v>58</v>
      </c>
      <c r="E435" s="2" t="s">
        <v>44</v>
      </c>
      <c r="F435" s="2" t="s">
        <v>41</v>
      </c>
      <c r="G435" s="2" t="s">
        <v>23</v>
      </c>
      <c r="H435" s="11">
        <v>4.0515726290516199</v>
      </c>
      <c r="I435" s="7">
        <v>0.135616806722689</v>
      </c>
      <c r="J435" s="11">
        <v>0.263577430972391</v>
      </c>
      <c r="K435" s="2" t="s">
        <v>30</v>
      </c>
      <c r="L435" s="2" t="str">
        <f>_xlfn.XLOOKUP(D435,Products!A:A,Products!B:B)</f>
        <v>Study Table</v>
      </c>
      <c r="M435" s="2" t="str">
        <f>_xlfn.XLOOKUP(D435,Products!A:A,Products!C:C)</f>
        <v>Furniture</v>
      </c>
      <c r="N435" s="2" t="str">
        <f>_xlfn.XLOOKUP(D435,Products!A:A,Products!D:D)</f>
        <v>Ikea</v>
      </c>
      <c r="O435" s="2">
        <f>_xlfn.XLOOKUP(D435,Products!A:A,Products!E:E)</f>
        <v>5000</v>
      </c>
      <c r="P435" s="2">
        <f>_xlfn.XLOOKUP(D435,Products!A:A,Products!F:F)</f>
        <v>8500</v>
      </c>
      <c r="Q435" s="11">
        <f t="shared" si="30"/>
        <v>34438.367346938772</v>
      </c>
      <c r="R435" s="11">
        <f t="shared" si="31"/>
        <v>4670.4214083347597</v>
      </c>
      <c r="S435" s="11">
        <f t="shared" si="32"/>
        <v>29767.945938604011</v>
      </c>
      <c r="T435" s="11">
        <f t="shared" si="33"/>
        <v>20257.863145258099</v>
      </c>
      <c r="U435" s="11">
        <f t="shared" si="34"/>
        <v>9510.0827933459113</v>
      </c>
    </row>
    <row r="436" spans="1:21" x14ac:dyDescent="0.3">
      <c r="A436" s="2" t="s">
        <v>488</v>
      </c>
      <c r="B436" s="6">
        <v>46113</v>
      </c>
      <c r="C436" s="2" t="s">
        <v>12</v>
      </c>
      <c r="D436" s="2" t="s">
        <v>13</v>
      </c>
      <c r="E436" s="2" t="s">
        <v>14</v>
      </c>
      <c r="F436" s="2" t="s">
        <v>15</v>
      </c>
      <c r="G436" s="2" t="s">
        <v>16</v>
      </c>
      <c r="H436" s="11">
        <v>4.0551260504201601</v>
      </c>
      <c r="I436" s="7">
        <v>0.13576470588235301</v>
      </c>
      <c r="J436" s="11">
        <v>0.27563025210084002</v>
      </c>
      <c r="K436" s="2" t="s">
        <v>17</v>
      </c>
      <c r="L436" s="2" t="str">
        <f>_xlfn.XLOOKUP(D436,Products!A:A,Products!B:B)</f>
        <v>Laptop</v>
      </c>
      <c r="M436" s="2" t="str">
        <f>_xlfn.XLOOKUP(D436,Products!A:A,Products!C:C)</f>
        <v>Electronics</v>
      </c>
      <c r="N436" s="2" t="str">
        <f>_xlfn.XLOOKUP(D436,Products!A:A,Products!D:D)</f>
        <v>HP</v>
      </c>
      <c r="O436" s="2">
        <f>_xlfn.XLOOKUP(D436,Products!A:A,Products!E:E)</f>
        <v>42000</v>
      </c>
      <c r="P436" s="2">
        <f>_xlfn.XLOOKUP(D436,Products!A:A,Products!F:F)</f>
        <v>55000</v>
      </c>
      <c r="Q436" s="11">
        <f t="shared" si="30"/>
        <v>223031.9327731088</v>
      </c>
      <c r="R436" s="11">
        <f t="shared" si="31"/>
        <v>30279.864755313843</v>
      </c>
      <c r="S436" s="11">
        <f t="shared" si="32"/>
        <v>192752.06801779495</v>
      </c>
      <c r="T436" s="11">
        <f t="shared" si="33"/>
        <v>170315.29411764673</v>
      </c>
      <c r="U436" s="11">
        <f t="shared" si="34"/>
        <v>22436.773900148226</v>
      </c>
    </row>
    <row r="437" spans="1:21" x14ac:dyDescent="0.3">
      <c r="A437" s="2" t="s">
        <v>489</v>
      </c>
      <c r="B437" s="6">
        <v>46113</v>
      </c>
      <c r="C437" s="2" t="s">
        <v>19</v>
      </c>
      <c r="D437" s="2" t="s">
        <v>20</v>
      </c>
      <c r="E437" s="2" t="s">
        <v>21</v>
      </c>
      <c r="F437" s="2" t="s">
        <v>22</v>
      </c>
      <c r="G437" s="2" t="s">
        <v>23</v>
      </c>
      <c r="H437" s="11">
        <v>4.05867947178871</v>
      </c>
      <c r="I437" s="7">
        <v>0.13591260504201699</v>
      </c>
      <c r="J437" s="11">
        <v>0.28768307322929099</v>
      </c>
      <c r="K437" s="2" t="s">
        <v>17</v>
      </c>
      <c r="L437" s="2" t="str">
        <f>_xlfn.XLOOKUP(D437,Products!A:A,Products!B:B)</f>
        <v>Jeans</v>
      </c>
      <c r="M437" s="2" t="str">
        <f>_xlfn.XLOOKUP(D437,Products!A:A,Products!C:C)</f>
        <v>Clothing</v>
      </c>
      <c r="N437" s="2" t="str">
        <f>_xlfn.XLOOKUP(D437,Products!A:A,Products!D:D)</f>
        <v>Wrangler</v>
      </c>
      <c r="O437" s="2">
        <f>_xlfn.XLOOKUP(D437,Products!A:A,Products!E:E)</f>
        <v>1100</v>
      </c>
      <c r="P437" s="2">
        <f>_xlfn.XLOOKUP(D437,Products!A:A,Products!F:F)</f>
        <v>2200</v>
      </c>
      <c r="Q437" s="11">
        <f t="shared" si="30"/>
        <v>8929.0948379351612</v>
      </c>
      <c r="R437" s="11">
        <f t="shared" si="31"/>
        <v>1213.5765400909943</v>
      </c>
      <c r="S437" s="11">
        <f t="shared" si="32"/>
        <v>7715.5182978441671</v>
      </c>
      <c r="T437" s="11">
        <f t="shared" si="33"/>
        <v>4464.5474189675806</v>
      </c>
      <c r="U437" s="11">
        <f t="shared" si="34"/>
        <v>3250.9708788765865</v>
      </c>
    </row>
    <row r="438" spans="1:21" x14ac:dyDescent="0.3">
      <c r="A438" s="2" t="s">
        <v>490</v>
      </c>
      <c r="B438" s="6">
        <v>46114</v>
      </c>
      <c r="C438" s="2" t="s">
        <v>25</v>
      </c>
      <c r="D438" s="2" t="s">
        <v>26</v>
      </c>
      <c r="E438" s="2" t="s">
        <v>27</v>
      </c>
      <c r="F438" s="2" t="s">
        <v>28</v>
      </c>
      <c r="G438" s="2" t="s">
        <v>29</v>
      </c>
      <c r="H438" s="11">
        <v>4.06223289315726</v>
      </c>
      <c r="I438" s="7">
        <v>0.136060504201681</v>
      </c>
      <c r="J438" s="11">
        <v>0.29973589435774101</v>
      </c>
      <c r="K438" s="2" t="s">
        <v>30</v>
      </c>
      <c r="L438" s="2" t="str">
        <f>_xlfn.XLOOKUP(D438,Products!A:A,Products!B:B)</f>
        <v>Face Wash</v>
      </c>
      <c r="M438" s="2" t="str">
        <f>_xlfn.XLOOKUP(D438,Products!A:A,Products!C:C)</f>
        <v>Beauty</v>
      </c>
      <c r="N438" s="2" t="str">
        <f>_xlfn.XLOOKUP(D438,Products!A:A,Products!D:D)</f>
        <v>Nivea</v>
      </c>
      <c r="O438" s="2">
        <f>_xlfn.XLOOKUP(D438,Products!A:A,Products!E:E)</f>
        <v>180</v>
      </c>
      <c r="P438" s="2">
        <f>_xlfn.XLOOKUP(D438,Products!A:A,Products!F:F)</f>
        <v>350</v>
      </c>
      <c r="Q438" s="11">
        <f t="shared" si="30"/>
        <v>1421.7815126050409</v>
      </c>
      <c r="R438" s="11">
        <f t="shared" si="31"/>
        <v>193.44830946967053</v>
      </c>
      <c r="S438" s="11">
        <f t="shared" si="32"/>
        <v>1228.3332031353705</v>
      </c>
      <c r="T438" s="11">
        <f t="shared" si="33"/>
        <v>731.20192076830676</v>
      </c>
      <c r="U438" s="11">
        <f t="shared" si="34"/>
        <v>497.1312823670637</v>
      </c>
    </row>
    <row r="439" spans="1:21" x14ac:dyDescent="0.3">
      <c r="A439" s="4" t="s">
        <v>491</v>
      </c>
      <c r="B439" s="5">
        <v>46114</v>
      </c>
      <c r="C439" s="4" t="s">
        <v>32</v>
      </c>
      <c r="D439" s="4" t="s">
        <v>37</v>
      </c>
      <c r="E439" s="4" t="s">
        <v>38</v>
      </c>
      <c r="F439" s="4" t="s">
        <v>39</v>
      </c>
      <c r="G439" s="4" t="s">
        <v>16</v>
      </c>
      <c r="H439" s="12">
        <v>4.06578631452581</v>
      </c>
      <c r="I439" s="8">
        <v>0.13620840336134499</v>
      </c>
      <c r="J439" s="12">
        <v>0.31178871548620102</v>
      </c>
      <c r="K439" s="4" t="s">
        <v>17</v>
      </c>
      <c r="L439" s="2" t="str">
        <f>_xlfn.XLOOKUP(D439,Products!A:A,Products!B:B)</f>
        <v>Headphones</v>
      </c>
      <c r="M439" s="2" t="str">
        <f>_xlfn.XLOOKUP(D439,Products!A:A,Products!C:C)</f>
        <v>Electronics</v>
      </c>
      <c r="N439" s="2" t="str">
        <f>_xlfn.XLOOKUP(D439,Products!A:A,Products!D:D)</f>
        <v>Sony</v>
      </c>
      <c r="O439" s="2">
        <f>_xlfn.XLOOKUP(D439,Products!A:A,Products!E:E)</f>
        <v>1800</v>
      </c>
      <c r="P439" s="2">
        <f>_xlfn.XLOOKUP(D439,Products!A:A,Products!F:F)</f>
        <v>3200</v>
      </c>
      <c r="Q439" s="11">
        <f t="shared" si="30"/>
        <v>13010.516206482593</v>
      </c>
      <c r="R439" s="11">
        <f t="shared" si="31"/>
        <v>1772.1416393918971</v>
      </c>
      <c r="S439" s="11">
        <f t="shared" si="32"/>
        <v>11238.374567090696</v>
      </c>
      <c r="T439" s="11">
        <f t="shared" si="33"/>
        <v>7318.4153661464579</v>
      </c>
      <c r="U439" s="11">
        <f t="shared" si="34"/>
        <v>3919.9592009442376</v>
      </c>
    </row>
    <row r="440" spans="1:21" x14ac:dyDescent="0.3">
      <c r="A440" s="1" t="s">
        <v>492</v>
      </c>
      <c r="B440" s="9">
        <v>46115</v>
      </c>
      <c r="C440" s="1" t="s">
        <v>34</v>
      </c>
      <c r="D440" s="1" t="s">
        <v>40</v>
      </c>
      <c r="E440" s="1" t="s">
        <v>14</v>
      </c>
      <c r="F440" s="1" t="s">
        <v>41</v>
      </c>
      <c r="G440" s="1" t="s">
        <v>42</v>
      </c>
      <c r="H440" s="13">
        <v>4.0693397358943502</v>
      </c>
      <c r="I440" s="10">
        <v>0.136356302521008</v>
      </c>
      <c r="J440" s="13">
        <v>0.32384153661464998</v>
      </c>
      <c r="K440" s="10" t="s">
        <v>17</v>
      </c>
      <c r="L440" s="2" t="str">
        <f>_xlfn.XLOOKUP(D440,Products!A:A,Products!B:B)</f>
        <v>Office Chair</v>
      </c>
      <c r="M440" s="2" t="str">
        <f>_xlfn.XLOOKUP(D440,Products!A:A,Products!C:C)</f>
        <v>Furniture</v>
      </c>
      <c r="N440" s="2" t="str">
        <f>_xlfn.XLOOKUP(D440,Products!A:A,Products!D:D)</f>
        <v>Featherlite</v>
      </c>
      <c r="O440" s="2">
        <f>_xlfn.XLOOKUP(D440,Products!A:A,Products!E:E)</f>
        <v>4500</v>
      </c>
      <c r="P440" s="2">
        <f>_xlfn.XLOOKUP(D440,Products!A:A,Products!F:F)</f>
        <v>7500</v>
      </c>
      <c r="Q440" s="11">
        <f t="shared" si="30"/>
        <v>30520.048019207625</v>
      </c>
      <c r="R440" s="11">
        <f t="shared" si="31"/>
        <v>4161.6009006627655</v>
      </c>
      <c r="S440" s="11">
        <f t="shared" si="32"/>
        <v>26358.44711854486</v>
      </c>
      <c r="T440" s="11">
        <f t="shared" si="33"/>
        <v>18312.028811524575</v>
      </c>
      <c r="U440" s="11">
        <f t="shared" si="34"/>
        <v>8046.4183070202853</v>
      </c>
    </row>
    <row r="441" spans="1:21" x14ac:dyDescent="0.3">
      <c r="A441" s="1" t="s">
        <v>493</v>
      </c>
      <c r="B441" s="9">
        <v>46115</v>
      </c>
      <c r="C441" s="1" t="s">
        <v>36</v>
      </c>
      <c r="D441" s="1" t="s">
        <v>43</v>
      </c>
      <c r="E441" s="1" t="s">
        <v>44</v>
      </c>
      <c r="F441" s="1" t="s">
        <v>15</v>
      </c>
      <c r="G441" s="1" t="s">
        <v>23</v>
      </c>
      <c r="H441" s="13">
        <v>4.0728931572629001</v>
      </c>
      <c r="I441" s="10">
        <v>0.13650420168067201</v>
      </c>
      <c r="J441" s="13">
        <v>0.335894357743101</v>
      </c>
      <c r="K441" s="10" t="s">
        <v>17</v>
      </c>
      <c r="L441" s="2" t="str">
        <f>_xlfn.XLOOKUP(D441,Products!A:A,Products!B:B)</f>
        <v>Smartphone</v>
      </c>
      <c r="M441" s="2" t="str">
        <f>_xlfn.XLOOKUP(D441,Products!A:A,Products!C:C)</f>
        <v>Electronics</v>
      </c>
      <c r="N441" s="2" t="str">
        <f>_xlfn.XLOOKUP(D441,Products!A:A,Products!D:D)</f>
        <v>Samsung</v>
      </c>
      <c r="O441" s="2">
        <f>_xlfn.XLOOKUP(D441,Products!A:A,Products!E:E)</f>
        <v>14000</v>
      </c>
      <c r="P441" s="2">
        <f>_xlfn.XLOOKUP(D441,Products!A:A,Products!F:F)</f>
        <v>22000</v>
      </c>
      <c r="Q441" s="11">
        <f t="shared" si="30"/>
        <v>89603.649459783803</v>
      </c>
      <c r="R441" s="11">
        <f t="shared" si="31"/>
        <v>12231.274637182565</v>
      </c>
      <c r="S441" s="11">
        <f t="shared" si="32"/>
        <v>77372.374822601239</v>
      </c>
      <c r="T441" s="11">
        <f t="shared" si="33"/>
        <v>57020.504201680604</v>
      </c>
      <c r="U441" s="11">
        <f t="shared" si="34"/>
        <v>20351.870620920636</v>
      </c>
    </row>
    <row r="442" spans="1:21" x14ac:dyDescent="0.3">
      <c r="A442" s="1" t="s">
        <v>494</v>
      </c>
      <c r="B442" s="9">
        <v>46116</v>
      </c>
      <c r="C442" s="1" t="s">
        <v>46</v>
      </c>
      <c r="D442" s="1" t="s">
        <v>47</v>
      </c>
      <c r="E442" s="1" t="s">
        <v>27</v>
      </c>
      <c r="F442" s="1" t="s">
        <v>22</v>
      </c>
      <c r="G442" s="1" t="s">
        <v>16</v>
      </c>
      <c r="H442" s="13">
        <v>4.0764465786314501</v>
      </c>
      <c r="I442" s="10">
        <v>0.13665210084033599</v>
      </c>
      <c r="J442" s="13">
        <v>0.34794717887155102</v>
      </c>
      <c r="K442" s="10" t="s">
        <v>48</v>
      </c>
      <c r="L442" s="2" t="str">
        <f>_xlfn.XLOOKUP(D442,Products!A:A,Products!B:B)</f>
        <v>Mixer Grinder</v>
      </c>
      <c r="M442" s="2" t="str">
        <f>_xlfn.XLOOKUP(D442,Products!A:A,Products!C:C)</f>
        <v>Home Appliances</v>
      </c>
      <c r="N442" s="2" t="str">
        <f>_xlfn.XLOOKUP(D442,Products!A:A,Products!D:D)</f>
        <v>Philips</v>
      </c>
      <c r="O442" s="2">
        <f>_xlfn.XLOOKUP(D442,Products!A:A,Products!E:E)</f>
        <v>2800</v>
      </c>
      <c r="P442" s="2">
        <f>_xlfn.XLOOKUP(D442,Products!A:A,Products!F:F)</f>
        <v>4800</v>
      </c>
      <c r="Q442" s="11">
        <f t="shared" si="30"/>
        <v>19566.94357743096</v>
      </c>
      <c r="R442" s="11">
        <f t="shared" si="31"/>
        <v>2673.8639468802603</v>
      </c>
      <c r="S442" s="11">
        <f t="shared" si="32"/>
        <v>16893.079630550699</v>
      </c>
      <c r="T442" s="11">
        <f t="shared" si="33"/>
        <v>11414.05042016806</v>
      </c>
      <c r="U442" s="11">
        <f t="shared" si="34"/>
        <v>5479.0292103826396</v>
      </c>
    </row>
    <row r="443" spans="1:21" x14ac:dyDescent="0.3">
      <c r="A443" s="2" t="s">
        <v>495</v>
      </c>
      <c r="B443" s="6">
        <v>46116</v>
      </c>
      <c r="C443" s="2" t="s">
        <v>50</v>
      </c>
      <c r="D443" s="2" t="s">
        <v>51</v>
      </c>
      <c r="E443" s="2" t="s">
        <v>21</v>
      </c>
      <c r="F443" s="2" t="s">
        <v>52</v>
      </c>
      <c r="G443" s="2" t="s">
        <v>16</v>
      </c>
      <c r="H443" s="11">
        <v>4.08</v>
      </c>
      <c r="I443" s="7">
        <v>0.1368</v>
      </c>
      <c r="J443" s="11">
        <v>0.36</v>
      </c>
      <c r="K443" s="2" t="s">
        <v>17</v>
      </c>
      <c r="L443" s="2" t="str">
        <f>_xlfn.XLOOKUP(D443,Products!A:A,Products!B:B)</f>
        <v>Shirt</v>
      </c>
      <c r="M443" s="2" t="str">
        <f>_xlfn.XLOOKUP(D443,Products!A:A,Products!C:C)</f>
        <v>Clothing</v>
      </c>
      <c r="N443" s="2" t="str">
        <f>_xlfn.XLOOKUP(D443,Products!A:A,Products!D:D)</f>
        <v>Levis</v>
      </c>
      <c r="O443" s="2">
        <f>_xlfn.XLOOKUP(D443,Products!A:A,Products!E:E)</f>
        <v>700</v>
      </c>
      <c r="P443" s="2">
        <f>_xlfn.XLOOKUP(D443,Products!A:A,Products!F:F)</f>
        <v>1500</v>
      </c>
      <c r="Q443" s="11">
        <f t="shared" si="30"/>
        <v>6120</v>
      </c>
      <c r="R443" s="11">
        <f t="shared" si="31"/>
        <v>837.21600000000001</v>
      </c>
      <c r="S443" s="11">
        <f t="shared" si="32"/>
        <v>5282.7839999999997</v>
      </c>
      <c r="T443" s="11">
        <f t="shared" si="33"/>
        <v>2856</v>
      </c>
      <c r="U443" s="11">
        <f t="shared" si="34"/>
        <v>2426.7839999999997</v>
      </c>
    </row>
    <row r="444" spans="1:21" x14ac:dyDescent="0.3">
      <c r="A444" s="2" t="s">
        <v>496</v>
      </c>
      <c r="B444" s="6">
        <v>46117</v>
      </c>
      <c r="C444" s="2" t="s">
        <v>54</v>
      </c>
      <c r="D444" s="2" t="s">
        <v>55</v>
      </c>
      <c r="E444" s="2" t="s">
        <v>38</v>
      </c>
      <c r="F444" s="2" t="s">
        <v>15</v>
      </c>
      <c r="G444" s="2" t="s">
        <v>29</v>
      </c>
      <c r="H444" s="11">
        <v>4.0835534213685403</v>
      </c>
      <c r="I444" s="7">
        <v>0.13694789915966399</v>
      </c>
      <c r="J444" s="11">
        <v>0.37205282112845101</v>
      </c>
      <c r="K444" s="2" t="s">
        <v>30</v>
      </c>
      <c r="L444" s="2" t="str">
        <f>_xlfn.XLOOKUP(D444,Products!A:A,Products!B:B)</f>
        <v>Sports Shoes</v>
      </c>
      <c r="M444" s="2" t="str">
        <f>_xlfn.XLOOKUP(D444,Products!A:A,Products!C:C)</f>
        <v>Sports</v>
      </c>
      <c r="N444" s="2" t="str">
        <f>_xlfn.XLOOKUP(D444,Products!A:A,Products!D:D)</f>
        <v>Nike</v>
      </c>
      <c r="O444" s="2">
        <f>_xlfn.XLOOKUP(D444,Products!A:A,Products!E:E)</f>
        <v>2200</v>
      </c>
      <c r="P444" s="2">
        <f>_xlfn.XLOOKUP(D444,Products!A:A,Products!F:F)</f>
        <v>4500</v>
      </c>
      <c r="Q444" s="11">
        <f t="shared" si="30"/>
        <v>18375.990396158431</v>
      </c>
      <c r="R444" s="11">
        <f t="shared" si="31"/>
        <v>2516.5532797320589</v>
      </c>
      <c r="S444" s="11">
        <f t="shared" si="32"/>
        <v>15859.437116426372</v>
      </c>
      <c r="T444" s="11">
        <f t="shared" si="33"/>
        <v>8983.8175270107895</v>
      </c>
      <c r="U444" s="11">
        <f t="shared" si="34"/>
        <v>6875.6195894155826</v>
      </c>
    </row>
    <row r="445" spans="1:21" x14ac:dyDescent="0.3">
      <c r="A445" s="2" t="s">
        <v>497</v>
      </c>
      <c r="B445" s="6">
        <v>46117</v>
      </c>
      <c r="C445" s="2" t="s">
        <v>57</v>
      </c>
      <c r="D445" s="2" t="s">
        <v>58</v>
      </c>
      <c r="E445" s="2" t="s">
        <v>44</v>
      </c>
      <c r="F445" s="2" t="s">
        <v>41</v>
      </c>
      <c r="G445" s="2" t="s">
        <v>23</v>
      </c>
      <c r="H445" s="11">
        <v>4.0871068427370902</v>
      </c>
      <c r="I445" s="7">
        <v>0.137095798319328</v>
      </c>
      <c r="J445" s="11">
        <v>0.38410564225690103</v>
      </c>
      <c r="K445" s="2" t="s">
        <v>17</v>
      </c>
      <c r="L445" s="2" t="str">
        <f>_xlfn.XLOOKUP(D445,Products!A:A,Products!B:B)</f>
        <v>Study Table</v>
      </c>
      <c r="M445" s="2" t="str">
        <f>_xlfn.XLOOKUP(D445,Products!A:A,Products!C:C)</f>
        <v>Furniture</v>
      </c>
      <c r="N445" s="2" t="str">
        <f>_xlfn.XLOOKUP(D445,Products!A:A,Products!D:D)</f>
        <v>Ikea</v>
      </c>
      <c r="O445" s="2">
        <f>_xlfn.XLOOKUP(D445,Products!A:A,Products!E:E)</f>
        <v>5000</v>
      </c>
      <c r="P445" s="2">
        <f>_xlfn.XLOOKUP(D445,Products!A:A,Products!F:F)</f>
        <v>8500</v>
      </c>
      <c r="Q445" s="11">
        <f t="shared" si="30"/>
        <v>34740.408163265267</v>
      </c>
      <c r="R445" s="11">
        <f t="shared" si="31"/>
        <v>4762.7639910821508</v>
      </c>
      <c r="S445" s="11">
        <f t="shared" si="32"/>
        <v>29977.644172183114</v>
      </c>
      <c r="T445" s="11">
        <f t="shared" si="33"/>
        <v>20435.534213685452</v>
      </c>
      <c r="U445" s="11">
        <f t="shared" si="34"/>
        <v>9542.1099584976619</v>
      </c>
    </row>
    <row r="446" spans="1:21" x14ac:dyDescent="0.3">
      <c r="A446" s="2" t="s">
        <v>498</v>
      </c>
      <c r="B446" s="6">
        <v>46118</v>
      </c>
      <c r="C446" s="2" t="s">
        <v>60</v>
      </c>
      <c r="D446" s="2" t="s">
        <v>13</v>
      </c>
      <c r="E446" s="2" t="s">
        <v>14</v>
      </c>
      <c r="F446" s="2" t="s">
        <v>22</v>
      </c>
      <c r="G446" s="2" t="s">
        <v>16</v>
      </c>
      <c r="H446" s="11">
        <v>4.0906602641056402</v>
      </c>
      <c r="I446" s="7">
        <v>0.13724369747899201</v>
      </c>
      <c r="J446" s="11">
        <v>0.39615846338535998</v>
      </c>
      <c r="K446" s="2" t="s">
        <v>17</v>
      </c>
      <c r="L446" s="2" t="str">
        <f>_xlfn.XLOOKUP(D446,Products!A:A,Products!B:B)</f>
        <v>Laptop</v>
      </c>
      <c r="M446" s="2" t="str">
        <f>_xlfn.XLOOKUP(D446,Products!A:A,Products!C:C)</f>
        <v>Electronics</v>
      </c>
      <c r="N446" s="2" t="str">
        <f>_xlfn.XLOOKUP(D446,Products!A:A,Products!D:D)</f>
        <v>HP</v>
      </c>
      <c r="O446" s="2">
        <f>_xlfn.XLOOKUP(D446,Products!A:A,Products!E:E)</f>
        <v>42000</v>
      </c>
      <c r="P446" s="2">
        <f>_xlfn.XLOOKUP(D446,Products!A:A,Products!F:F)</f>
        <v>55000</v>
      </c>
      <c r="Q446" s="11">
        <f t="shared" si="30"/>
        <v>224986.31452581022</v>
      </c>
      <c r="R446" s="11">
        <f t="shared" si="31"/>
        <v>30877.953687693644</v>
      </c>
      <c r="S446" s="11">
        <f t="shared" si="32"/>
        <v>194108.36083811658</v>
      </c>
      <c r="T446" s="11">
        <f t="shared" si="33"/>
        <v>171807.73109243688</v>
      </c>
      <c r="U446" s="11">
        <f t="shared" si="34"/>
        <v>22300.629745679704</v>
      </c>
    </row>
    <row r="447" spans="1:21" x14ac:dyDescent="0.3">
      <c r="A447" s="2" t="s">
        <v>499</v>
      </c>
      <c r="B447" s="6">
        <v>46118</v>
      </c>
      <c r="C447" s="2" t="s">
        <v>62</v>
      </c>
      <c r="D447" s="2" t="s">
        <v>26</v>
      </c>
      <c r="E447" s="2" t="s">
        <v>27</v>
      </c>
      <c r="F447" s="2" t="s">
        <v>15</v>
      </c>
      <c r="G447" s="2" t="s">
        <v>42</v>
      </c>
      <c r="H447" s="11">
        <v>4.0942136854741902</v>
      </c>
      <c r="I447" s="7">
        <v>0.13739159663865499</v>
      </c>
      <c r="J447" s="11">
        <v>0.40821128451381</v>
      </c>
      <c r="K447" s="2" t="s">
        <v>17</v>
      </c>
      <c r="L447" s="2" t="str">
        <f>_xlfn.XLOOKUP(D447,Products!A:A,Products!B:B)</f>
        <v>Face Wash</v>
      </c>
      <c r="M447" s="2" t="str">
        <f>_xlfn.XLOOKUP(D447,Products!A:A,Products!C:C)</f>
        <v>Beauty</v>
      </c>
      <c r="N447" s="2" t="str">
        <f>_xlfn.XLOOKUP(D447,Products!A:A,Products!D:D)</f>
        <v>Nivea</v>
      </c>
      <c r="O447" s="2">
        <f>_xlfn.XLOOKUP(D447,Products!A:A,Products!E:E)</f>
        <v>180</v>
      </c>
      <c r="P447" s="2">
        <f>_xlfn.XLOOKUP(D447,Products!A:A,Products!F:F)</f>
        <v>350</v>
      </c>
      <c r="Q447" s="11">
        <f t="shared" si="30"/>
        <v>1432.9747899159665</v>
      </c>
      <c r="R447" s="11">
        <f t="shared" si="31"/>
        <v>196.87869432949586</v>
      </c>
      <c r="S447" s="11">
        <f t="shared" si="32"/>
        <v>1236.0960955864707</v>
      </c>
      <c r="T447" s="11">
        <f t="shared" si="33"/>
        <v>736.95846338535421</v>
      </c>
      <c r="U447" s="11">
        <f t="shared" si="34"/>
        <v>499.1376322011165</v>
      </c>
    </row>
    <row r="448" spans="1:21" x14ac:dyDescent="0.3">
      <c r="A448" s="2" t="s">
        <v>500</v>
      </c>
      <c r="B448" s="6">
        <v>46119</v>
      </c>
      <c r="C448" s="2" t="s">
        <v>64</v>
      </c>
      <c r="D448" s="2" t="s">
        <v>20</v>
      </c>
      <c r="E448" s="2" t="s">
        <v>21</v>
      </c>
      <c r="F448" s="2" t="s">
        <v>39</v>
      </c>
      <c r="G448" s="2" t="s">
        <v>23</v>
      </c>
      <c r="H448" s="11">
        <v>4.0977671068427304</v>
      </c>
      <c r="I448" s="7">
        <v>0.13753949579831901</v>
      </c>
      <c r="J448" s="11">
        <v>0.42026410564226102</v>
      </c>
      <c r="K448" s="2" t="s">
        <v>17</v>
      </c>
      <c r="L448" s="2" t="str">
        <f>_xlfn.XLOOKUP(D448,Products!A:A,Products!B:B)</f>
        <v>Jeans</v>
      </c>
      <c r="M448" s="2" t="str">
        <f>_xlfn.XLOOKUP(D448,Products!A:A,Products!C:C)</f>
        <v>Clothing</v>
      </c>
      <c r="N448" s="2" t="str">
        <f>_xlfn.XLOOKUP(D448,Products!A:A,Products!D:D)</f>
        <v>Wrangler</v>
      </c>
      <c r="O448" s="2">
        <f>_xlfn.XLOOKUP(D448,Products!A:A,Products!E:E)</f>
        <v>1100</v>
      </c>
      <c r="P448" s="2">
        <f>_xlfn.XLOOKUP(D448,Products!A:A,Products!F:F)</f>
        <v>2200</v>
      </c>
      <c r="Q448" s="11">
        <f t="shared" si="30"/>
        <v>9015.0876350540075</v>
      </c>
      <c r="R448" s="11">
        <f t="shared" si="31"/>
        <v>1239.9306079029882</v>
      </c>
      <c r="S448" s="11">
        <f t="shared" si="32"/>
        <v>7775.1570271510191</v>
      </c>
      <c r="T448" s="11">
        <f t="shared" si="33"/>
        <v>4507.5438175270037</v>
      </c>
      <c r="U448" s="11">
        <f t="shared" si="34"/>
        <v>3267.6132096240153</v>
      </c>
    </row>
    <row r="449" spans="1:21" x14ac:dyDescent="0.3">
      <c r="A449" s="2" t="s">
        <v>501</v>
      </c>
      <c r="B449" s="6">
        <v>46119</v>
      </c>
      <c r="C449" s="2" t="s">
        <v>66</v>
      </c>
      <c r="D449" s="2" t="s">
        <v>37</v>
      </c>
      <c r="E449" s="2" t="s">
        <v>38</v>
      </c>
      <c r="F449" s="2" t="s">
        <v>15</v>
      </c>
      <c r="G449" s="2" t="s">
        <v>16</v>
      </c>
      <c r="H449" s="11">
        <v>4.1013205282112803</v>
      </c>
      <c r="I449" s="7">
        <v>0.13768739495798299</v>
      </c>
      <c r="J449" s="11">
        <v>0.43231692677070999</v>
      </c>
      <c r="K449" s="2" t="s">
        <v>17</v>
      </c>
      <c r="L449" s="2" t="str">
        <f>_xlfn.XLOOKUP(D449,Products!A:A,Products!B:B)</f>
        <v>Headphones</v>
      </c>
      <c r="M449" s="2" t="str">
        <f>_xlfn.XLOOKUP(D449,Products!A:A,Products!C:C)</f>
        <v>Electronics</v>
      </c>
      <c r="N449" s="2" t="str">
        <f>_xlfn.XLOOKUP(D449,Products!A:A,Products!D:D)</f>
        <v>Sony</v>
      </c>
      <c r="O449" s="2">
        <f>_xlfn.XLOOKUP(D449,Products!A:A,Products!E:E)</f>
        <v>1800</v>
      </c>
      <c r="P449" s="2">
        <f>_xlfn.XLOOKUP(D449,Products!A:A,Products!F:F)</f>
        <v>3200</v>
      </c>
      <c r="Q449" s="11">
        <f t="shared" si="30"/>
        <v>13124.225690276096</v>
      </c>
      <c r="R449" s="11">
        <f t="shared" si="31"/>
        <v>1807.0404461347518</v>
      </c>
      <c r="S449" s="11">
        <f t="shared" si="32"/>
        <v>11317.185244141345</v>
      </c>
      <c r="T449" s="11">
        <f t="shared" si="33"/>
        <v>7382.3769507803045</v>
      </c>
      <c r="U449" s="11">
        <f t="shared" si="34"/>
        <v>3934.8082933610403</v>
      </c>
    </row>
    <row r="450" spans="1:21" x14ac:dyDescent="0.3">
      <c r="A450" s="2" t="s">
        <v>502</v>
      </c>
      <c r="B450" s="6">
        <v>46113</v>
      </c>
      <c r="C450" s="2" t="s">
        <v>12</v>
      </c>
      <c r="D450" s="2" t="s">
        <v>13</v>
      </c>
      <c r="E450" s="2" t="s">
        <v>14</v>
      </c>
      <c r="F450" s="2" t="s">
        <v>15</v>
      </c>
      <c r="G450" s="2" t="s">
        <v>16</v>
      </c>
      <c r="H450" s="11">
        <v>4.1048739495798303</v>
      </c>
      <c r="I450" s="7">
        <v>0.137835294117647</v>
      </c>
      <c r="J450" s="11">
        <v>0.44436974789916001</v>
      </c>
      <c r="K450" s="2" t="s">
        <v>17</v>
      </c>
      <c r="L450" s="2" t="str">
        <f>_xlfn.XLOOKUP(D450,Products!A:A,Products!B:B)</f>
        <v>Laptop</v>
      </c>
      <c r="M450" s="2" t="str">
        <f>_xlfn.XLOOKUP(D450,Products!A:A,Products!C:C)</f>
        <v>Electronics</v>
      </c>
      <c r="N450" s="2" t="str">
        <f>_xlfn.XLOOKUP(D450,Products!A:A,Products!D:D)</f>
        <v>HP</v>
      </c>
      <c r="O450" s="2">
        <f>_xlfn.XLOOKUP(D450,Products!A:A,Products!E:E)</f>
        <v>42000</v>
      </c>
      <c r="P450" s="2">
        <f>_xlfn.XLOOKUP(D450,Products!A:A,Products!F:F)</f>
        <v>55000</v>
      </c>
      <c r="Q450" s="11">
        <f t="shared" si="30"/>
        <v>225768.06722689068</v>
      </c>
      <c r="R450" s="11">
        <f t="shared" si="31"/>
        <v>31118.807948591177</v>
      </c>
      <c r="S450" s="11">
        <f t="shared" si="32"/>
        <v>194649.25927829949</v>
      </c>
      <c r="T450" s="11">
        <f t="shared" si="33"/>
        <v>172404.70588235286</v>
      </c>
      <c r="U450" s="11">
        <f t="shared" si="34"/>
        <v>22244.553395946627</v>
      </c>
    </row>
    <row r="451" spans="1:21" x14ac:dyDescent="0.3">
      <c r="A451" s="2" t="s">
        <v>503</v>
      </c>
      <c r="B451" s="6">
        <v>46113</v>
      </c>
      <c r="C451" s="2" t="s">
        <v>19</v>
      </c>
      <c r="D451" s="2" t="s">
        <v>20</v>
      </c>
      <c r="E451" s="2" t="s">
        <v>21</v>
      </c>
      <c r="F451" s="2" t="s">
        <v>22</v>
      </c>
      <c r="G451" s="2" t="s">
        <v>23</v>
      </c>
      <c r="H451" s="11">
        <v>4.1084273709483696</v>
      </c>
      <c r="I451" s="7">
        <v>0.13798319327731101</v>
      </c>
      <c r="J451" s="11">
        <v>0.45642256902761102</v>
      </c>
      <c r="K451" s="2" t="s">
        <v>17</v>
      </c>
      <c r="L451" s="2" t="str">
        <f>_xlfn.XLOOKUP(D451,Products!A:A,Products!B:B)</f>
        <v>Jeans</v>
      </c>
      <c r="M451" s="2" t="str">
        <f>_xlfn.XLOOKUP(D451,Products!A:A,Products!C:C)</f>
        <v>Clothing</v>
      </c>
      <c r="N451" s="2" t="str">
        <f>_xlfn.XLOOKUP(D451,Products!A:A,Products!D:D)</f>
        <v>Wrangler</v>
      </c>
      <c r="O451" s="2">
        <f>_xlfn.XLOOKUP(D451,Products!A:A,Products!E:E)</f>
        <v>1100</v>
      </c>
      <c r="P451" s="2">
        <f>_xlfn.XLOOKUP(D451,Products!A:A,Products!F:F)</f>
        <v>2200</v>
      </c>
      <c r="Q451" s="11">
        <f t="shared" ref="Q451:Q501" si="35">H451*P451</f>
        <v>9038.5402160864123</v>
      </c>
      <c r="R451" s="11">
        <f t="shared" ref="R451:R501" si="36">Q451*I451</f>
        <v>1247.1666415809998</v>
      </c>
      <c r="S451" s="11">
        <f t="shared" ref="S451:S501" si="37">Q451-R451</f>
        <v>7791.3735745054128</v>
      </c>
      <c r="T451" s="11">
        <f t="shared" ref="T451:T501" si="38">H451*O451</f>
        <v>4519.2701080432062</v>
      </c>
      <c r="U451" s="11">
        <f t="shared" ref="U451:U501" si="39">S451-T451</f>
        <v>3272.1034664622066</v>
      </c>
    </row>
    <row r="452" spans="1:21" x14ac:dyDescent="0.3">
      <c r="A452" s="2" t="s">
        <v>504</v>
      </c>
      <c r="B452" s="6">
        <v>46114</v>
      </c>
      <c r="C452" s="2" t="s">
        <v>25</v>
      </c>
      <c r="D452" s="2" t="s">
        <v>26</v>
      </c>
      <c r="E452" s="2" t="s">
        <v>27</v>
      </c>
      <c r="F452" s="2" t="s">
        <v>28</v>
      </c>
      <c r="G452" s="2" t="s">
        <v>29</v>
      </c>
      <c r="H452" s="11">
        <v>4.1119807923169196</v>
      </c>
      <c r="I452" s="7">
        <v>0.13813109243697499</v>
      </c>
      <c r="J452" s="11">
        <v>0.46847539015605999</v>
      </c>
      <c r="K452" s="2" t="s">
        <v>30</v>
      </c>
      <c r="L452" s="2" t="str">
        <f>_xlfn.XLOOKUP(D452,Products!A:A,Products!B:B)</f>
        <v>Face Wash</v>
      </c>
      <c r="M452" s="2" t="str">
        <f>_xlfn.XLOOKUP(D452,Products!A:A,Products!C:C)</f>
        <v>Beauty</v>
      </c>
      <c r="N452" s="2" t="str">
        <f>_xlfn.XLOOKUP(D452,Products!A:A,Products!D:D)</f>
        <v>Nivea</v>
      </c>
      <c r="O452" s="2">
        <f>_xlfn.XLOOKUP(D452,Products!A:A,Products!E:E)</f>
        <v>180</v>
      </c>
      <c r="P452" s="2">
        <f>_xlfn.XLOOKUP(D452,Products!A:A,Products!F:F)</f>
        <v>350</v>
      </c>
      <c r="Q452" s="11">
        <f t="shared" si="35"/>
        <v>1439.1932773109218</v>
      </c>
      <c r="R452" s="11">
        <f t="shared" si="36"/>
        <v>198.79733962290791</v>
      </c>
      <c r="S452" s="11">
        <f t="shared" si="37"/>
        <v>1240.3959376880139</v>
      </c>
      <c r="T452" s="11">
        <f t="shared" si="38"/>
        <v>740.15654261704549</v>
      </c>
      <c r="U452" s="11">
        <f t="shared" si="39"/>
        <v>500.23939507096838</v>
      </c>
    </row>
    <row r="453" spans="1:21" x14ac:dyDescent="0.3">
      <c r="A453" s="4" t="s">
        <v>505</v>
      </c>
      <c r="B453" s="5">
        <v>46114</v>
      </c>
      <c r="C453" s="4" t="s">
        <v>32</v>
      </c>
      <c r="D453" s="4" t="s">
        <v>37</v>
      </c>
      <c r="E453" s="4" t="s">
        <v>38</v>
      </c>
      <c r="F453" s="4" t="s">
        <v>39</v>
      </c>
      <c r="G453" s="4" t="s">
        <v>16</v>
      </c>
      <c r="H453" s="12">
        <v>4.1155342136854696</v>
      </c>
      <c r="I453" s="8">
        <v>0.13827899159663901</v>
      </c>
      <c r="J453" s="12">
        <v>0.48052821128452</v>
      </c>
      <c r="K453" s="4" t="s">
        <v>17</v>
      </c>
      <c r="L453" s="2" t="str">
        <f>_xlfn.XLOOKUP(D453,Products!A:A,Products!B:B)</f>
        <v>Headphones</v>
      </c>
      <c r="M453" s="2" t="str">
        <f>_xlfn.XLOOKUP(D453,Products!A:A,Products!C:C)</f>
        <v>Electronics</v>
      </c>
      <c r="N453" s="2" t="str">
        <f>_xlfn.XLOOKUP(D453,Products!A:A,Products!D:D)</f>
        <v>Sony</v>
      </c>
      <c r="O453" s="2">
        <f>_xlfn.XLOOKUP(D453,Products!A:A,Products!E:E)</f>
        <v>1800</v>
      </c>
      <c r="P453" s="2">
        <f>_xlfn.XLOOKUP(D453,Products!A:A,Products!F:F)</f>
        <v>3200</v>
      </c>
      <c r="Q453" s="11">
        <f t="shared" si="35"/>
        <v>13169.709483793502</v>
      </c>
      <c r="R453" s="11">
        <f t="shared" si="36"/>
        <v>1821.0941470396588</v>
      </c>
      <c r="S453" s="11">
        <f t="shared" si="37"/>
        <v>11348.615336753843</v>
      </c>
      <c r="T453" s="11">
        <f t="shared" si="38"/>
        <v>7407.9615846338456</v>
      </c>
      <c r="U453" s="11">
        <f t="shared" si="39"/>
        <v>3940.6537521199971</v>
      </c>
    </row>
    <row r="454" spans="1:21" x14ac:dyDescent="0.3">
      <c r="A454" s="1" t="s">
        <v>506</v>
      </c>
      <c r="B454" s="9">
        <v>46115</v>
      </c>
      <c r="C454" s="1" t="s">
        <v>34</v>
      </c>
      <c r="D454" s="1" t="s">
        <v>40</v>
      </c>
      <c r="E454" s="1" t="s">
        <v>14</v>
      </c>
      <c r="F454" s="1" t="s">
        <v>41</v>
      </c>
      <c r="G454" s="1" t="s">
        <v>42</v>
      </c>
      <c r="H454" s="13">
        <v>4.1190876350540204</v>
      </c>
      <c r="I454" s="10">
        <v>0.13842689075630299</v>
      </c>
      <c r="J454" s="13">
        <v>0.49258103241297002</v>
      </c>
      <c r="K454" s="10" t="s">
        <v>17</v>
      </c>
      <c r="L454" s="2" t="str">
        <f>_xlfn.XLOOKUP(D454,Products!A:A,Products!B:B)</f>
        <v>Office Chair</v>
      </c>
      <c r="M454" s="2" t="str">
        <f>_xlfn.XLOOKUP(D454,Products!A:A,Products!C:C)</f>
        <v>Furniture</v>
      </c>
      <c r="N454" s="2" t="str">
        <f>_xlfn.XLOOKUP(D454,Products!A:A,Products!D:D)</f>
        <v>Featherlite</v>
      </c>
      <c r="O454" s="2">
        <f>_xlfn.XLOOKUP(D454,Products!A:A,Products!E:E)</f>
        <v>4500</v>
      </c>
      <c r="P454" s="2">
        <f>_xlfn.XLOOKUP(D454,Products!A:A,Products!F:F)</f>
        <v>7500</v>
      </c>
      <c r="Q454" s="11">
        <f t="shared" si="35"/>
        <v>30893.157262905152</v>
      </c>
      <c r="R454" s="11">
        <f t="shared" si="36"/>
        <v>4276.44370554946</v>
      </c>
      <c r="S454" s="11">
        <f t="shared" si="37"/>
        <v>26616.713557355692</v>
      </c>
      <c r="T454" s="11">
        <f t="shared" si="38"/>
        <v>18535.894357743091</v>
      </c>
      <c r="U454" s="11">
        <f t="shared" si="39"/>
        <v>8080.8191996126006</v>
      </c>
    </row>
    <row r="455" spans="1:21" x14ac:dyDescent="0.3">
      <c r="A455" s="1" t="s">
        <v>507</v>
      </c>
      <c r="B455" s="9">
        <v>46115</v>
      </c>
      <c r="C455" s="1" t="s">
        <v>36</v>
      </c>
      <c r="D455" s="1" t="s">
        <v>43</v>
      </c>
      <c r="E455" s="1" t="s">
        <v>44</v>
      </c>
      <c r="F455" s="1" t="s">
        <v>15</v>
      </c>
      <c r="G455" s="1" t="s">
        <v>23</v>
      </c>
      <c r="H455" s="13">
        <v>4.1226410564225597</v>
      </c>
      <c r="I455" s="10">
        <v>0.138574789915966</v>
      </c>
      <c r="J455" s="13">
        <v>0.50463385354142098</v>
      </c>
      <c r="K455" s="10" t="s">
        <v>17</v>
      </c>
      <c r="L455" s="2" t="str">
        <f>_xlfn.XLOOKUP(D455,Products!A:A,Products!B:B)</f>
        <v>Smartphone</v>
      </c>
      <c r="M455" s="2" t="str">
        <f>_xlfn.XLOOKUP(D455,Products!A:A,Products!C:C)</f>
        <v>Electronics</v>
      </c>
      <c r="N455" s="2" t="str">
        <f>_xlfn.XLOOKUP(D455,Products!A:A,Products!D:D)</f>
        <v>Samsung</v>
      </c>
      <c r="O455" s="2">
        <f>_xlfn.XLOOKUP(D455,Products!A:A,Products!E:E)</f>
        <v>14000</v>
      </c>
      <c r="P455" s="2">
        <f>_xlfn.XLOOKUP(D455,Products!A:A,Products!F:F)</f>
        <v>22000</v>
      </c>
      <c r="Q455" s="11">
        <f t="shared" si="35"/>
        <v>90698.10324129631</v>
      </c>
      <c r="R455" s="11">
        <f t="shared" si="36"/>
        <v>12568.470602439231</v>
      </c>
      <c r="S455" s="11">
        <f t="shared" si="37"/>
        <v>78129.632638857074</v>
      </c>
      <c r="T455" s="11">
        <f t="shared" si="38"/>
        <v>57716.974789915839</v>
      </c>
      <c r="U455" s="11">
        <f t="shared" si="39"/>
        <v>20412.657848941235</v>
      </c>
    </row>
    <row r="456" spans="1:21" x14ac:dyDescent="0.3">
      <c r="A456" s="1" t="s">
        <v>508</v>
      </c>
      <c r="B456" s="9">
        <v>46116</v>
      </c>
      <c r="C456" s="1" t="s">
        <v>46</v>
      </c>
      <c r="D456" s="1" t="s">
        <v>47</v>
      </c>
      <c r="E456" s="1" t="s">
        <v>27</v>
      </c>
      <c r="F456" s="1" t="s">
        <v>22</v>
      </c>
      <c r="G456" s="1" t="s">
        <v>16</v>
      </c>
      <c r="H456" s="13">
        <v>4.1261944777911097</v>
      </c>
      <c r="I456" s="10">
        <v>0.13872268907563001</v>
      </c>
      <c r="J456" s="13">
        <v>0.51668667466986995</v>
      </c>
      <c r="K456" s="10" t="s">
        <v>48</v>
      </c>
      <c r="L456" s="2" t="str">
        <f>_xlfn.XLOOKUP(D456,Products!A:A,Products!B:B)</f>
        <v>Mixer Grinder</v>
      </c>
      <c r="M456" s="2" t="str">
        <f>_xlfn.XLOOKUP(D456,Products!A:A,Products!C:C)</f>
        <v>Home Appliances</v>
      </c>
      <c r="N456" s="2" t="str">
        <f>_xlfn.XLOOKUP(D456,Products!A:A,Products!D:D)</f>
        <v>Philips</v>
      </c>
      <c r="O456" s="2">
        <f>_xlfn.XLOOKUP(D456,Products!A:A,Products!E:E)</f>
        <v>2800</v>
      </c>
      <c r="P456" s="2">
        <f>_xlfn.XLOOKUP(D456,Products!A:A,Products!F:F)</f>
        <v>4800</v>
      </c>
      <c r="Q456" s="11">
        <f t="shared" si="35"/>
        <v>19805.733493397325</v>
      </c>
      <c r="R456" s="11">
        <f t="shared" si="36"/>
        <v>2747.5046093193487</v>
      </c>
      <c r="S456" s="11">
        <f t="shared" si="37"/>
        <v>17058.228884077977</v>
      </c>
      <c r="T456" s="11">
        <f t="shared" si="38"/>
        <v>11553.344537815106</v>
      </c>
      <c r="U456" s="11">
        <f t="shared" si="39"/>
        <v>5504.8843462628702</v>
      </c>
    </row>
    <row r="457" spans="1:21" x14ac:dyDescent="0.3">
      <c r="A457" s="2" t="s">
        <v>509</v>
      </c>
      <c r="B457" s="6">
        <v>46116</v>
      </c>
      <c r="C457" s="2" t="s">
        <v>50</v>
      </c>
      <c r="D457" s="2" t="s">
        <v>51</v>
      </c>
      <c r="E457" s="2" t="s">
        <v>21</v>
      </c>
      <c r="F457" s="2" t="s">
        <v>52</v>
      </c>
      <c r="G457" s="2" t="s">
        <v>16</v>
      </c>
      <c r="H457" s="11">
        <v>4.1297478991596597</v>
      </c>
      <c r="I457" s="7">
        <v>0.138870588235294</v>
      </c>
      <c r="J457" s="11">
        <v>0.52873949579832002</v>
      </c>
      <c r="K457" s="2" t="s">
        <v>17</v>
      </c>
      <c r="L457" s="2" t="str">
        <f>_xlfn.XLOOKUP(D457,Products!A:A,Products!B:B)</f>
        <v>Shirt</v>
      </c>
      <c r="M457" s="2" t="str">
        <f>_xlfn.XLOOKUP(D457,Products!A:A,Products!C:C)</f>
        <v>Clothing</v>
      </c>
      <c r="N457" s="2" t="str">
        <f>_xlfn.XLOOKUP(D457,Products!A:A,Products!D:D)</f>
        <v>Levis</v>
      </c>
      <c r="O457" s="2">
        <f>_xlfn.XLOOKUP(D457,Products!A:A,Products!E:E)</f>
        <v>700</v>
      </c>
      <c r="P457" s="2">
        <f>_xlfn.XLOOKUP(D457,Products!A:A,Products!F:F)</f>
        <v>1500</v>
      </c>
      <c r="Q457" s="11">
        <f t="shared" si="35"/>
        <v>6194.6218487394899</v>
      </c>
      <c r="R457" s="11">
        <f t="shared" si="36"/>
        <v>860.25078002965734</v>
      </c>
      <c r="S457" s="11">
        <f t="shared" si="37"/>
        <v>5334.3710687098328</v>
      </c>
      <c r="T457" s="11">
        <f t="shared" si="38"/>
        <v>2890.8235294117617</v>
      </c>
      <c r="U457" s="11">
        <f t="shared" si="39"/>
        <v>2443.5475392980711</v>
      </c>
    </row>
    <row r="458" spans="1:21" x14ac:dyDescent="0.3">
      <c r="A458" s="2" t="s">
        <v>510</v>
      </c>
      <c r="B458" s="6">
        <v>46117</v>
      </c>
      <c r="C458" s="2" t="s">
        <v>54</v>
      </c>
      <c r="D458" s="2" t="s">
        <v>55</v>
      </c>
      <c r="E458" s="2" t="s">
        <v>38</v>
      </c>
      <c r="F458" s="2" t="s">
        <v>15</v>
      </c>
      <c r="G458" s="2" t="s">
        <v>29</v>
      </c>
      <c r="H458" s="11">
        <v>4.1333013205282096</v>
      </c>
      <c r="I458" s="7">
        <v>0.13901848739495801</v>
      </c>
      <c r="J458" s="11">
        <v>0.54079231692677099</v>
      </c>
      <c r="K458" s="2" t="s">
        <v>30</v>
      </c>
      <c r="L458" s="2" t="str">
        <f>_xlfn.XLOOKUP(D458,Products!A:A,Products!B:B)</f>
        <v>Sports Shoes</v>
      </c>
      <c r="M458" s="2" t="str">
        <f>_xlfn.XLOOKUP(D458,Products!A:A,Products!C:C)</f>
        <v>Sports</v>
      </c>
      <c r="N458" s="2" t="str">
        <f>_xlfn.XLOOKUP(D458,Products!A:A,Products!D:D)</f>
        <v>Nike</v>
      </c>
      <c r="O458" s="2">
        <f>_xlfn.XLOOKUP(D458,Products!A:A,Products!E:E)</f>
        <v>2200</v>
      </c>
      <c r="P458" s="2">
        <f>_xlfn.XLOOKUP(D458,Products!A:A,Products!F:F)</f>
        <v>4500</v>
      </c>
      <c r="Q458" s="11">
        <f t="shared" si="35"/>
        <v>18599.855942376944</v>
      </c>
      <c r="R458" s="11">
        <f t="shared" si="36"/>
        <v>2585.723838873364</v>
      </c>
      <c r="S458" s="11">
        <f t="shared" si="37"/>
        <v>16014.13210350358</v>
      </c>
      <c r="T458" s="11">
        <f t="shared" si="38"/>
        <v>9093.2629051620606</v>
      </c>
      <c r="U458" s="11">
        <f t="shared" si="39"/>
        <v>6920.8691983415192</v>
      </c>
    </row>
    <row r="459" spans="1:21" x14ac:dyDescent="0.3">
      <c r="A459" s="2" t="s">
        <v>511</v>
      </c>
      <c r="B459" s="6">
        <v>46117</v>
      </c>
      <c r="C459" s="2" t="s">
        <v>57</v>
      </c>
      <c r="D459" s="2" t="s">
        <v>58</v>
      </c>
      <c r="E459" s="2" t="s">
        <v>44</v>
      </c>
      <c r="F459" s="2" t="s">
        <v>41</v>
      </c>
      <c r="G459" s="2" t="s">
        <v>23</v>
      </c>
      <c r="H459" s="11">
        <v>4.1368547418967498</v>
      </c>
      <c r="I459" s="7">
        <v>0.13916638655462199</v>
      </c>
      <c r="J459" s="11">
        <v>0.55284513805521995</v>
      </c>
      <c r="K459" s="2" t="s">
        <v>17</v>
      </c>
      <c r="L459" s="2" t="str">
        <f>_xlfn.XLOOKUP(D459,Products!A:A,Products!B:B)</f>
        <v>Study Table</v>
      </c>
      <c r="M459" s="2" t="str">
        <f>_xlfn.XLOOKUP(D459,Products!A:A,Products!C:C)</f>
        <v>Furniture</v>
      </c>
      <c r="N459" s="2" t="str">
        <f>_xlfn.XLOOKUP(D459,Products!A:A,Products!D:D)</f>
        <v>Ikea</v>
      </c>
      <c r="O459" s="2">
        <f>_xlfn.XLOOKUP(D459,Products!A:A,Products!E:E)</f>
        <v>5000</v>
      </c>
      <c r="P459" s="2">
        <f>_xlfn.XLOOKUP(D459,Products!A:A,Products!F:F)</f>
        <v>8500</v>
      </c>
      <c r="Q459" s="11">
        <f t="shared" si="35"/>
        <v>35163.265306122375</v>
      </c>
      <c r="R459" s="11">
        <f t="shared" si="36"/>
        <v>4893.5445721145552</v>
      </c>
      <c r="S459" s="11">
        <f t="shared" si="37"/>
        <v>30269.72073400782</v>
      </c>
      <c r="T459" s="11">
        <f t="shared" si="38"/>
        <v>20684.27370948375</v>
      </c>
      <c r="U459" s="11">
        <f t="shared" si="39"/>
        <v>9585.44702452407</v>
      </c>
    </row>
    <row r="460" spans="1:21" x14ac:dyDescent="0.3">
      <c r="A460" s="2" t="s">
        <v>512</v>
      </c>
      <c r="B460" s="6">
        <v>46118</v>
      </c>
      <c r="C460" s="2" t="s">
        <v>60</v>
      </c>
      <c r="D460" s="2" t="s">
        <v>13</v>
      </c>
      <c r="E460" s="2" t="s">
        <v>14</v>
      </c>
      <c r="F460" s="2" t="s">
        <v>22</v>
      </c>
      <c r="G460" s="2" t="s">
        <v>16</v>
      </c>
      <c r="H460" s="11">
        <v>4.1404081632652998</v>
      </c>
      <c r="I460" s="7">
        <v>0.139314285714286</v>
      </c>
      <c r="J460" s="11">
        <v>0.56489795918368002</v>
      </c>
      <c r="K460" s="2" t="s">
        <v>17</v>
      </c>
      <c r="L460" s="2" t="str">
        <f>_xlfn.XLOOKUP(D460,Products!A:A,Products!B:B)</f>
        <v>Laptop</v>
      </c>
      <c r="M460" s="2" t="str">
        <f>_xlfn.XLOOKUP(D460,Products!A:A,Products!C:C)</f>
        <v>Electronics</v>
      </c>
      <c r="N460" s="2" t="str">
        <f>_xlfn.XLOOKUP(D460,Products!A:A,Products!D:D)</f>
        <v>HP</v>
      </c>
      <c r="O460" s="2">
        <f>_xlfn.XLOOKUP(D460,Products!A:A,Products!E:E)</f>
        <v>42000</v>
      </c>
      <c r="P460" s="2">
        <f>_xlfn.XLOOKUP(D460,Products!A:A,Products!F:F)</f>
        <v>55000</v>
      </c>
      <c r="Q460" s="11">
        <f t="shared" si="35"/>
        <v>227722.44897959149</v>
      </c>
      <c r="R460" s="11">
        <f t="shared" si="36"/>
        <v>31724.990320699726</v>
      </c>
      <c r="S460" s="11">
        <f t="shared" si="37"/>
        <v>195997.45865889176</v>
      </c>
      <c r="T460" s="11">
        <f t="shared" si="38"/>
        <v>173897.14285714258</v>
      </c>
      <c r="U460" s="11">
        <f t="shared" si="39"/>
        <v>22100.315801749181</v>
      </c>
    </row>
    <row r="461" spans="1:21" x14ac:dyDescent="0.3">
      <c r="A461" s="2" t="s">
        <v>513</v>
      </c>
      <c r="B461" s="6">
        <v>46118</v>
      </c>
      <c r="C461" s="2" t="s">
        <v>62</v>
      </c>
      <c r="D461" s="2" t="s">
        <v>26</v>
      </c>
      <c r="E461" s="2" t="s">
        <v>27</v>
      </c>
      <c r="F461" s="2" t="s">
        <v>15</v>
      </c>
      <c r="G461" s="2" t="s">
        <v>42</v>
      </c>
      <c r="H461" s="11">
        <v>4.1439615846338498</v>
      </c>
      <c r="I461" s="7">
        <v>0.13946218487395001</v>
      </c>
      <c r="J461" s="11">
        <v>0.57695078031213098</v>
      </c>
      <c r="K461" s="2" t="s">
        <v>17</v>
      </c>
      <c r="L461" s="2" t="str">
        <f>_xlfn.XLOOKUP(D461,Products!A:A,Products!B:B)</f>
        <v>Face Wash</v>
      </c>
      <c r="M461" s="2" t="str">
        <f>_xlfn.XLOOKUP(D461,Products!A:A,Products!C:C)</f>
        <v>Beauty</v>
      </c>
      <c r="N461" s="2" t="str">
        <f>_xlfn.XLOOKUP(D461,Products!A:A,Products!D:D)</f>
        <v>Nivea</v>
      </c>
      <c r="O461" s="2">
        <f>_xlfn.XLOOKUP(D461,Products!A:A,Products!E:E)</f>
        <v>180</v>
      </c>
      <c r="P461" s="2">
        <f>_xlfn.XLOOKUP(D461,Products!A:A,Products!F:F)</f>
        <v>350</v>
      </c>
      <c r="Q461" s="11">
        <f t="shared" si="35"/>
        <v>1450.3865546218474</v>
      </c>
      <c r="R461" s="11">
        <f t="shared" si="36"/>
        <v>202.27407781936347</v>
      </c>
      <c r="S461" s="11">
        <f t="shared" si="37"/>
        <v>1248.1124768024838</v>
      </c>
      <c r="T461" s="11">
        <f t="shared" si="38"/>
        <v>745.91308523409293</v>
      </c>
      <c r="U461" s="11">
        <f t="shared" si="39"/>
        <v>502.19939156839087</v>
      </c>
    </row>
    <row r="462" spans="1:21" x14ac:dyDescent="0.3">
      <c r="A462" s="2" t="s">
        <v>514</v>
      </c>
      <c r="B462" s="6">
        <v>46119</v>
      </c>
      <c r="C462" s="2" t="s">
        <v>64</v>
      </c>
      <c r="D462" s="2" t="s">
        <v>20</v>
      </c>
      <c r="E462" s="2" t="s">
        <v>21</v>
      </c>
      <c r="F462" s="2" t="s">
        <v>39</v>
      </c>
      <c r="G462" s="2" t="s">
        <v>23</v>
      </c>
      <c r="H462" s="11">
        <v>4.1475150060023998</v>
      </c>
      <c r="I462" s="7">
        <v>0.139610084033613</v>
      </c>
      <c r="J462" s="11">
        <v>0.58900360144058095</v>
      </c>
      <c r="K462" s="2" t="s">
        <v>17</v>
      </c>
      <c r="L462" s="2" t="str">
        <f>_xlfn.XLOOKUP(D462,Products!A:A,Products!B:B)</f>
        <v>Jeans</v>
      </c>
      <c r="M462" s="2" t="str">
        <f>_xlfn.XLOOKUP(D462,Products!A:A,Products!C:C)</f>
        <v>Clothing</v>
      </c>
      <c r="N462" s="2" t="str">
        <f>_xlfn.XLOOKUP(D462,Products!A:A,Products!D:D)</f>
        <v>Wrangler</v>
      </c>
      <c r="O462" s="2">
        <f>_xlfn.XLOOKUP(D462,Products!A:A,Products!E:E)</f>
        <v>1100</v>
      </c>
      <c r="P462" s="2">
        <f>_xlfn.XLOOKUP(D462,Products!A:A,Products!F:F)</f>
        <v>2200</v>
      </c>
      <c r="Q462" s="11">
        <f t="shared" si="35"/>
        <v>9124.5330132052786</v>
      </c>
      <c r="R462" s="11">
        <f t="shared" si="36"/>
        <v>1273.8768207410649</v>
      </c>
      <c r="S462" s="11">
        <f t="shared" si="37"/>
        <v>7850.6561924642137</v>
      </c>
      <c r="T462" s="11">
        <f t="shared" si="38"/>
        <v>4562.2665066026393</v>
      </c>
      <c r="U462" s="11">
        <f t="shared" si="39"/>
        <v>3288.3896858615744</v>
      </c>
    </row>
    <row r="463" spans="1:21" x14ac:dyDescent="0.3">
      <c r="A463" s="2" t="s">
        <v>515</v>
      </c>
      <c r="B463" s="6">
        <v>46119</v>
      </c>
      <c r="C463" s="2" t="s">
        <v>66</v>
      </c>
      <c r="D463" s="2" t="s">
        <v>37</v>
      </c>
      <c r="E463" s="2" t="s">
        <v>38</v>
      </c>
      <c r="F463" s="2" t="s">
        <v>15</v>
      </c>
      <c r="G463" s="2" t="s">
        <v>16</v>
      </c>
      <c r="H463" s="11">
        <v>4.15106842737094</v>
      </c>
      <c r="I463" s="7">
        <v>0.13975798319327701</v>
      </c>
      <c r="J463" s="11">
        <v>0.60105642256903002</v>
      </c>
      <c r="K463" s="2" t="s">
        <v>17</v>
      </c>
      <c r="L463" s="2" t="str">
        <f>_xlfn.XLOOKUP(D463,Products!A:A,Products!B:B)</f>
        <v>Headphones</v>
      </c>
      <c r="M463" s="2" t="str">
        <f>_xlfn.XLOOKUP(D463,Products!A:A,Products!C:C)</f>
        <v>Electronics</v>
      </c>
      <c r="N463" s="2" t="str">
        <f>_xlfn.XLOOKUP(D463,Products!A:A,Products!D:D)</f>
        <v>Sony</v>
      </c>
      <c r="O463" s="2">
        <f>_xlfn.XLOOKUP(D463,Products!A:A,Products!E:E)</f>
        <v>1800</v>
      </c>
      <c r="P463" s="2">
        <f>_xlfn.XLOOKUP(D463,Products!A:A,Products!F:F)</f>
        <v>3200</v>
      </c>
      <c r="Q463" s="11">
        <f t="shared" si="35"/>
        <v>13283.418967587008</v>
      </c>
      <c r="R463" s="11">
        <f t="shared" si="36"/>
        <v>1856.463844821282</v>
      </c>
      <c r="S463" s="11">
        <f t="shared" si="37"/>
        <v>11426.955122765725</v>
      </c>
      <c r="T463" s="11">
        <f t="shared" si="38"/>
        <v>7471.9231692676922</v>
      </c>
      <c r="U463" s="11">
        <f t="shared" si="39"/>
        <v>3955.0319534980326</v>
      </c>
    </row>
    <row r="464" spans="1:21" x14ac:dyDescent="0.3">
      <c r="A464" s="2" t="s">
        <v>516</v>
      </c>
      <c r="B464" s="6">
        <v>46120</v>
      </c>
      <c r="C464" s="2" t="s">
        <v>68</v>
      </c>
      <c r="D464" s="2" t="s">
        <v>40</v>
      </c>
      <c r="E464" s="2" t="s">
        <v>44</v>
      </c>
      <c r="F464" s="2" t="s">
        <v>22</v>
      </c>
      <c r="G464" s="2" t="s">
        <v>29</v>
      </c>
      <c r="H464" s="11">
        <v>4.1546218487394899</v>
      </c>
      <c r="I464" s="7">
        <v>0.13990588235294099</v>
      </c>
      <c r="J464" s="11">
        <v>0.61310924369748099</v>
      </c>
      <c r="K464" s="2" t="s">
        <v>30</v>
      </c>
      <c r="L464" s="2" t="str">
        <f>_xlfn.XLOOKUP(D464,Products!A:A,Products!B:B)</f>
        <v>Office Chair</v>
      </c>
      <c r="M464" s="2" t="str">
        <f>_xlfn.XLOOKUP(D464,Products!A:A,Products!C:C)</f>
        <v>Furniture</v>
      </c>
      <c r="N464" s="2" t="str">
        <f>_xlfn.XLOOKUP(D464,Products!A:A,Products!D:D)</f>
        <v>Featherlite</v>
      </c>
      <c r="O464" s="2">
        <f>_xlfn.XLOOKUP(D464,Products!A:A,Products!E:E)</f>
        <v>4500</v>
      </c>
      <c r="P464" s="2">
        <f>_xlfn.XLOOKUP(D464,Products!A:A,Products!F:F)</f>
        <v>7500</v>
      </c>
      <c r="Q464" s="11">
        <f t="shared" si="35"/>
        <v>31159.663865546176</v>
      </c>
      <c r="R464" s="11">
        <f t="shared" si="36"/>
        <v>4359.4202669302895</v>
      </c>
      <c r="S464" s="11">
        <f t="shared" si="37"/>
        <v>26800.243598615885</v>
      </c>
      <c r="T464" s="11">
        <f t="shared" si="38"/>
        <v>18695.798319327703</v>
      </c>
      <c r="U464" s="11">
        <f t="shared" si="39"/>
        <v>8104.4452792881821</v>
      </c>
    </row>
    <row r="465" spans="1:21" x14ac:dyDescent="0.3">
      <c r="A465" s="2" t="s">
        <v>517</v>
      </c>
      <c r="B465" s="6">
        <v>46120</v>
      </c>
      <c r="C465" s="2" t="s">
        <v>12</v>
      </c>
      <c r="D465" s="2" t="s">
        <v>43</v>
      </c>
      <c r="E465" s="2" t="s">
        <v>14</v>
      </c>
      <c r="F465" s="2" t="s">
        <v>15</v>
      </c>
      <c r="G465" s="2" t="s">
        <v>16</v>
      </c>
      <c r="H465" s="11">
        <v>4.1581752701080399</v>
      </c>
      <c r="I465" s="7">
        <v>0.140053781512605</v>
      </c>
      <c r="J465" s="11">
        <v>0.62516206482593095</v>
      </c>
      <c r="K465" s="2" t="s">
        <v>17</v>
      </c>
      <c r="L465" s="2" t="str">
        <f>_xlfn.XLOOKUP(D465,Products!A:A,Products!B:B)</f>
        <v>Smartphone</v>
      </c>
      <c r="M465" s="2" t="str">
        <f>_xlfn.XLOOKUP(D465,Products!A:A,Products!C:C)</f>
        <v>Electronics</v>
      </c>
      <c r="N465" s="2" t="str">
        <f>_xlfn.XLOOKUP(D465,Products!A:A,Products!D:D)</f>
        <v>Samsung</v>
      </c>
      <c r="O465" s="2">
        <f>_xlfn.XLOOKUP(D465,Products!A:A,Products!E:E)</f>
        <v>14000</v>
      </c>
      <c r="P465" s="2">
        <f>_xlfn.XLOOKUP(D465,Products!A:A,Products!F:F)</f>
        <v>22000</v>
      </c>
      <c r="Q465" s="11">
        <f t="shared" si="35"/>
        <v>91479.855942376875</v>
      </c>
      <c r="R465" s="11">
        <f t="shared" si="36"/>
        <v>12812.099756958231</v>
      </c>
      <c r="S465" s="11">
        <f t="shared" si="37"/>
        <v>78667.75618541865</v>
      </c>
      <c r="T465" s="11">
        <f t="shared" si="38"/>
        <v>58214.453781512559</v>
      </c>
      <c r="U465" s="11">
        <f t="shared" si="39"/>
        <v>20453.302403906091</v>
      </c>
    </row>
    <row r="466" spans="1:21" x14ac:dyDescent="0.3">
      <c r="A466" s="2" t="s">
        <v>518</v>
      </c>
      <c r="B466" s="6">
        <v>46121</v>
      </c>
      <c r="C466" s="2" t="s">
        <v>19</v>
      </c>
      <c r="D466" s="2" t="s">
        <v>47</v>
      </c>
      <c r="E466" s="2" t="s">
        <v>27</v>
      </c>
      <c r="F466" s="2" t="s">
        <v>41</v>
      </c>
      <c r="G466" s="2" t="s">
        <v>23</v>
      </c>
      <c r="H466" s="11">
        <v>4.1617286914765899</v>
      </c>
      <c r="I466" s="7">
        <v>0.14020168067226901</v>
      </c>
      <c r="J466" s="11">
        <v>0.63721488595438003</v>
      </c>
      <c r="K466" s="2" t="s">
        <v>17</v>
      </c>
      <c r="L466" s="2" t="str">
        <f>_xlfn.XLOOKUP(D466,Products!A:A,Products!B:B)</f>
        <v>Mixer Grinder</v>
      </c>
      <c r="M466" s="2" t="str">
        <f>_xlfn.XLOOKUP(D466,Products!A:A,Products!C:C)</f>
        <v>Home Appliances</v>
      </c>
      <c r="N466" s="2" t="str">
        <f>_xlfn.XLOOKUP(D466,Products!A:A,Products!D:D)</f>
        <v>Philips</v>
      </c>
      <c r="O466" s="2">
        <f>_xlfn.XLOOKUP(D466,Products!A:A,Products!E:E)</f>
        <v>2800</v>
      </c>
      <c r="P466" s="2">
        <f>_xlfn.XLOOKUP(D466,Products!A:A,Products!F:F)</f>
        <v>4800</v>
      </c>
      <c r="Q466" s="11">
        <f t="shared" si="35"/>
        <v>19976.29771908763</v>
      </c>
      <c r="R466" s="11">
        <f t="shared" si="36"/>
        <v>2800.7105138256998</v>
      </c>
      <c r="S466" s="11">
        <f t="shared" si="37"/>
        <v>17175.587205261931</v>
      </c>
      <c r="T466" s="11">
        <f t="shared" si="38"/>
        <v>11652.840336134452</v>
      </c>
      <c r="U466" s="11">
        <f t="shared" si="39"/>
        <v>5522.7468691274789</v>
      </c>
    </row>
    <row r="467" spans="1:21" x14ac:dyDescent="0.3">
      <c r="A467" s="2" t="s">
        <v>519</v>
      </c>
      <c r="B467" s="6">
        <v>46121</v>
      </c>
      <c r="C467" s="2" t="s">
        <v>25</v>
      </c>
      <c r="D467" s="2" t="s">
        <v>51</v>
      </c>
      <c r="E467" s="2" t="s">
        <v>21</v>
      </c>
      <c r="F467" s="2" t="s">
        <v>52</v>
      </c>
      <c r="G467" s="2" t="s">
        <v>29</v>
      </c>
      <c r="H467" s="11">
        <v>4.1652821128451301</v>
      </c>
      <c r="I467" s="7">
        <v>0.140349579831933</v>
      </c>
      <c r="J467" s="11">
        <v>0.64926770708283099</v>
      </c>
      <c r="K467" s="2" t="s">
        <v>30</v>
      </c>
      <c r="L467" s="2" t="str">
        <f>_xlfn.XLOOKUP(D467,Products!A:A,Products!B:B)</f>
        <v>Shirt</v>
      </c>
      <c r="M467" s="2" t="str">
        <f>_xlfn.XLOOKUP(D467,Products!A:A,Products!C:C)</f>
        <v>Clothing</v>
      </c>
      <c r="N467" s="2" t="str">
        <f>_xlfn.XLOOKUP(D467,Products!A:A,Products!D:D)</f>
        <v>Levis</v>
      </c>
      <c r="O467" s="2">
        <f>_xlfn.XLOOKUP(D467,Products!A:A,Products!E:E)</f>
        <v>700</v>
      </c>
      <c r="P467" s="2">
        <f>_xlfn.XLOOKUP(D467,Products!A:A,Products!F:F)</f>
        <v>1500</v>
      </c>
      <c r="Q467" s="11">
        <f t="shared" si="35"/>
        <v>6247.9231692676949</v>
      </c>
      <c r="R467" s="11">
        <f t="shared" si="36"/>
        <v>876.8933916289202</v>
      </c>
      <c r="S467" s="11">
        <f t="shared" si="37"/>
        <v>5371.0297776387742</v>
      </c>
      <c r="T467" s="11">
        <f t="shared" si="38"/>
        <v>2915.6974789915912</v>
      </c>
      <c r="U467" s="11">
        <f t="shared" si="39"/>
        <v>2455.3322986471831</v>
      </c>
    </row>
    <row r="468" spans="1:21" x14ac:dyDescent="0.3">
      <c r="A468" s="2" t="s">
        <v>520</v>
      </c>
      <c r="B468" s="6">
        <v>46122</v>
      </c>
      <c r="C468" s="2" t="s">
        <v>32</v>
      </c>
      <c r="D468" s="2" t="s">
        <v>55</v>
      </c>
      <c r="E468" s="2" t="s">
        <v>38</v>
      </c>
      <c r="F468" s="2" t="s">
        <v>22</v>
      </c>
      <c r="G468" s="2" t="s">
        <v>16</v>
      </c>
      <c r="H468" s="11">
        <v>4.16883553421368</v>
      </c>
      <c r="I468" s="7">
        <v>0.14049747899159701</v>
      </c>
      <c r="J468" s="11">
        <v>0.66132052821129095</v>
      </c>
      <c r="K468" s="2" t="s">
        <v>17</v>
      </c>
      <c r="L468" s="2" t="str">
        <f>_xlfn.XLOOKUP(D468,Products!A:A,Products!B:B)</f>
        <v>Sports Shoes</v>
      </c>
      <c r="M468" s="2" t="str">
        <f>_xlfn.XLOOKUP(D468,Products!A:A,Products!C:C)</f>
        <v>Sports</v>
      </c>
      <c r="N468" s="2" t="str">
        <f>_xlfn.XLOOKUP(D468,Products!A:A,Products!D:D)</f>
        <v>Nike</v>
      </c>
      <c r="O468" s="2">
        <f>_xlfn.XLOOKUP(D468,Products!A:A,Products!E:E)</f>
        <v>2200</v>
      </c>
      <c r="P468" s="2">
        <f>_xlfn.XLOOKUP(D468,Products!A:A,Products!F:F)</f>
        <v>4500</v>
      </c>
      <c r="Q468" s="11">
        <f t="shared" si="35"/>
        <v>18759.75990396156</v>
      </c>
      <c r="R468" s="11">
        <f t="shared" si="36"/>
        <v>2635.6989729942429</v>
      </c>
      <c r="S468" s="11">
        <f t="shared" si="37"/>
        <v>16124.060930967316</v>
      </c>
      <c r="T468" s="11">
        <f t="shared" si="38"/>
        <v>9171.4381752700956</v>
      </c>
      <c r="U468" s="11">
        <f t="shared" si="39"/>
        <v>6952.6227556972208</v>
      </c>
    </row>
    <row r="469" spans="1:21" x14ac:dyDescent="0.3">
      <c r="A469" s="2" t="s">
        <v>521</v>
      </c>
      <c r="B469" s="6">
        <v>46122</v>
      </c>
      <c r="C469" s="2" t="s">
        <v>34</v>
      </c>
      <c r="D469" s="2" t="s">
        <v>58</v>
      </c>
      <c r="E469" s="2" t="s">
        <v>44</v>
      </c>
      <c r="F469" s="2" t="s">
        <v>15</v>
      </c>
      <c r="G469" s="2" t="s">
        <v>23</v>
      </c>
      <c r="H469" s="11">
        <v>4.17238895558223</v>
      </c>
      <c r="I469" s="7">
        <v>0.14064537815125999</v>
      </c>
      <c r="J469" s="11">
        <v>0.67337334933974102</v>
      </c>
      <c r="K469" s="2" t="s">
        <v>17</v>
      </c>
      <c r="L469" s="2" t="str">
        <f>_xlfn.XLOOKUP(D469,Products!A:A,Products!B:B)</f>
        <v>Study Table</v>
      </c>
      <c r="M469" s="2" t="str">
        <f>_xlfn.XLOOKUP(D469,Products!A:A,Products!C:C)</f>
        <v>Furniture</v>
      </c>
      <c r="N469" s="2" t="str">
        <f>_xlfn.XLOOKUP(D469,Products!A:A,Products!D:D)</f>
        <v>Ikea</v>
      </c>
      <c r="O469" s="2">
        <f>_xlfn.XLOOKUP(D469,Products!A:A,Products!E:E)</f>
        <v>5000</v>
      </c>
      <c r="P469" s="2">
        <f>_xlfn.XLOOKUP(D469,Products!A:A,Products!F:F)</f>
        <v>8500</v>
      </c>
      <c r="Q469" s="11">
        <f t="shared" si="35"/>
        <v>35465.306122448957</v>
      </c>
      <c r="R469" s="11">
        <f t="shared" si="36"/>
        <v>4988.0313908420294</v>
      </c>
      <c r="S469" s="11">
        <f t="shared" si="37"/>
        <v>30477.274731606929</v>
      </c>
      <c r="T469" s="11">
        <f t="shared" si="38"/>
        <v>20861.944777911151</v>
      </c>
      <c r="U469" s="11">
        <f t="shared" si="39"/>
        <v>9615.3299536957784</v>
      </c>
    </row>
    <row r="470" spans="1:21" x14ac:dyDescent="0.3">
      <c r="A470" s="2" t="s">
        <v>522</v>
      </c>
      <c r="B470" s="6">
        <v>46123</v>
      </c>
      <c r="C470" s="2" t="s">
        <v>36</v>
      </c>
      <c r="D470" s="2" t="s">
        <v>13</v>
      </c>
      <c r="E470" s="2" t="s">
        <v>14</v>
      </c>
      <c r="F470" s="2" t="s">
        <v>39</v>
      </c>
      <c r="G470" s="2" t="s">
        <v>16</v>
      </c>
      <c r="H470" s="11">
        <v>4.17594237695078</v>
      </c>
      <c r="I470" s="7">
        <v>0.140793277310924</v>
      </c>
      <c r="J470" s="11">
        <v>0.68542617046818999</v>
      </c>
      <c r="K470" s="2" t="s">
        <v>17</v>
      </c>
      <c r="L470" s="2" t="str">
        <f>_xlfn.XLOOKUP(D470,Products!A:A,Products!B:B)</f>
        <v>Laptop</v>
      </c>
      <c r="M470" s="2" t="str">
        <f>_xlfn.XLOOKUP(D470,Products!A:A,Products!C:C)</f>
        <v>Electronics</v>
      </c>
      <c r="N470" s="2" t="str">
        <f>_xlfn.XLOOKUP(D470,Products!A:A,Products!D:D)</f>
        <v>HP</v>
      </c>
      <c r="O470" s="2">
        <f>_xlfn.XLOOKUP(D470,Products!A:A,Products!E:E)</f>
        <v>42000</v>
      </c>
      <c r="P470" s="2">
        <f>_xlfn.XLOOKUP(D470,Products!A:A,Products!F:F)</f>
        <v>55000</v>
      </c>
      <c r="Q470" s="11">
        <f t="shared" si="35"/>
        <v>229676.8307322929</v>
      </c>
      <c r="R470" s="11">
        <f t="shared" si="36"/>
        <v>32336.953721185866</v>
      </c>
      <c r="S470" s="11">
        <f t="shared" si="37"/>
        <v>197339.87701110705</v>
      </c>
      <c r="T470" s="11">
        <f t="shared" si="38"/>
        <v>175389.57983193276</v>
      </c>
      <c r="U470" s="11">
        <f t="shared" si="39"/>
        <v>21950.297179174289</v>
      </c>
    </row>
    <row r="471" spans="1:21" x14ac:dyDescent="0.3">
      <c r="A471" s="2" t="s">
        <v>523</v>
      </c>
      <c r="B471" s="6">
        <v>46123</v>
      </c>
      <c r="C471" s="2" t="s">
        <v>46</v>
      </c>
      <c r="D471" s="2" t="s">
        <v>20</v>
      </c>
      <c r="E471" s="2" t="s">
        <v>27</v>
      </c>
      <c r="F471" s="2" t="s">
        <v>15</v>
      </c>
      <c r="G471" s="2" t="s">
        <v>29</v>
      </c>
      <c r="H471" s="11">
        <v>4.1794957983193202</v>
      </c>
      <c r="I471" s="7">
        <v>0.14094117647058799</v>
      </c>
      <c r="J471" s="11">
        <v>0.69747899159664095</v>
      </c>
      <c r="K471" s="2" t="s">
        <v>17</v>
      </c>
      <c r="L471" s="2" t="str">
        <f>_xlfn.XLOOKUP(D471,Products!A:A,Products!B:B)</f>
        <v>Jeans</v>
      </c>
      <c r="M471" s="2" t="str">
        <f>_xlfn.XLOOKUP(D471,Products!A:A,Products!C:C)</f>
        <v>Clothing</v>
      </c>
      <c r="N471" s="2" t="str">
        <f>_xlfn.XLOOKUP(D471,Products!A:A,Products!D:D)</f>
        <v>Wrangler</v>
      </c>
      <c r="O471" s="2">
        <f>_xlfn.XLOOKUP(D471,Products!A:A,Products!E:E)</f>
        <v>1100</v>
      </c>
      <c r="P471" s="2">
        <f>_xlfn.XLOOKUP(D471,Products!A:A,Products!F:F)</f>
        <v>2200</v>
      </c>
      <c r="Q471" s="11">
        <f t="shared" si="35"/>
        <v>9194.8907563025041</v>
      </c>
      <c r="R471" s="11">
        <f t="shared" si="36"/>
        <v>1295.9387207118095</v>
      </c>
      <c r="S471" s="11">
        <f t="shared" si="37"/>
        <v>7898.9520355906943</v>
      </c>
      <c r="T471" s="11">
        <f t="shared" si="38"/>
        <v>4597.445378151252</v>
      </c>
      <c r="U471" s="11">
        <f t="shared" si="39"/>
        <v>3301.5066574394423</v>
      </c>
    </row>
    <row r="472" spans="1:21" x14ac:dyDescent="0.3">
      <c r="A472" s="2" t="s">
        <v>524</v>
      </c>
      <c r="B472" s="6">
        <v>46124</v>
      </c>
      <c r="C472" s="2" t="s">
        <v>50</v>
      </c>
      <c r="D472" s="2" t="s">
        <v>26</v>
      </c>
      <c r="E472" s="2" t="s">
        <v>21</v>
      </c>
      <c r="F472" s="2" t="s">
        <v>41</v>
      </c>
      <c r="G472" s="2" t="s">
        <v>23</v>
      </c>
      <c r="H472" s="11">
        <v>4.1830492196878701</v>
      </c>
      <c r="I472" s="7">
        <v>0.141089075630252</v>
      </c>
      <c r="J472" s="11">
        <v>0.70953181272509103</v>
      </c>
      <c r="K472" s="2" t="s">
        <v>17</v>
      </c>
      <c r="L472" s="2" t="str">
        <f>_xlfn.XLOOKUP(D472,Products!A:A,Products!B:B)</f>
        <v>Face Wash</v>
      </c>
      <c r="M472" s="2" t="str">
        <f>_xlfn.XLOOKUP(D472,Products!A:A,Products!C:C)</f>
        <v>Beauty</v>
      </c>
      <c r="N472" s="2" t="str">
        <f>_xlfn.XLOOKUP(D472,Products!A:A,Products!D:D)</f>
        <v>Nivea</v>
      </c>
      <c r="O472" s="2">
        <f>_xlfn.XLOOKUP(D472,Products!A:A,Products!E:E)</f>
        <v>180</v>
      </c>
      <c r="P472" s="2">
        <f>_xlfn.XLOOKUP(D472,Products!A:A,Products!F:F)</f>
        <v>350</v>
      </c>
      <c r="Q472" s="11">
        <f t="shared" si="35"/>
        <v>1464.0672268907545</v>
      </c>
      <c r="R472" s="11">
        <f t="shared" si="36"/>
        <v>206.56389170256296</v>
      </c>
      <c r="S472" s="11">
        <f t="shared" si="37"/>
        <v>1257.5033351881916</v>
      </c>
      <c r="T472" s="11">
        <f t="shared" si="38"/>
        <v>752.94885954381664</v>
      </c>
      <c r="U472" s="11">
        <f t="shared" si="39"/>
        <v>504.55447564437497</v>
      </c>
    </row>
    <row r="473" spans="1:21" x14ac:dyDescent="0.3">
      <c r="A473" s="2" t="s">
        <v>525</v>
      </c>
      <c r="B473" s="6">
        <v>46124</v>
      </c>
      <c r="C473" s="2" t="s">
        <v>54</v>
      </c>
      <c r="D473" s="2" t="s">
        <v>37</v>
      </c>
      <c r="E473" s="2" t="s">
        <v>38</v>
      </c>
      <c r="F473" s="2" t="s">
        <v>22</v>
      </c>
      <c r="G473" s="2" t="s">
        <v>16</v>
      </c>
      <c r="H473" s="11">
        <v>4.1866026410564201</v>
      </c>
      <c r="I473" s="7">
        <v>0.14123697478991601</v>
      </c>
      <c r="J473" s="11">
        <v>0.72158463385353999</v>
      </c>
      <c r="K473" s="2" t="s">
        <v>30</v>
      </c>
      <c r="L473" s="2" t="str">
        <f>_xlfn.XLOOKUP(D473,Products!A:A,Products!B:B)</f>
        <v>Headphones</v>
      </c>
      <c r="M473" s="2" t="str">
        <f>_xlfn.XLOOKUP(D473,Products!A:A,Products!C:C)</f>
        <v>Electronics</v>
      </c>
      <c r="N473" s="2" t="str">
        <f>_xlfn.XLOOKUP(D473,Products!A:A,Products!D:D)</f>
        <v>Sony</v>
      </c>
      <c r="O473" s="2">
        <f>_xlfn.XLOOKUP(D473,Products!A:A,Products!E:E)</f>
        <v>1800</v>
      </c>
      <c r="P473" s="2">
        <f>_xlfn.XLOOKUP(D473,Products!A:A,Products!F:F)</f>
        <v>3200</v>
      </c>
      <c r="Q473" s="11">
        <f t="shared" si="35"/>
        <v>13397.128451380544</v>
      </c>
      <c r="R473" s="11">
        <f t="shared" si="36"/>
        <v>1892.1698933449004</v>
      </c>
      <c r="S473" s="11">
        <f t="shared" si="37"/>
        <v>11504.958558035643</v>
      </c>
      <c r="T473" s="11">
        <f t="shared" si="38"/>
        <v>7535.884753901556</v>
      </c>
      <c r="U473" s="11">
        <f t="shared" si="39"/>
        <v>3969.0738041340874</v>
      </c>
    </row>
    <row r="474" spans="1:21" x14ac:dyDescent="0.3">
      <c r="A474" s="2" t="s">
        <v>526</v>
      </c>
      <c r="B474" s="6">
        <v>46125</v>
      </c>
      <c r="C474" s="2" t="s">
        <v>57</v>
      </c>
      <c r="D474" s="2" t="s">
        <v>40</v>
      </c>
      <c r="E474" s="2" t="s">
        <v>44</v>
      </c>
      <c r="F474" s="2" t="s">
        <v>15</v>
      </c>
      <c r="G474" s="2" t="s">
        <v>42</v>
      </c>
      <c r="H474" s="11">
        <v>4.1901560624249603</v>
      </c>
      <c r="I474" s="7">
        <v>0.14138487394957999</v>
      </c>
      <c r="J474" s="11">
        <v>0.73363745498199096</v>
      </c>
      <c r="K474" s="2" t="s">
        <v>17</v>
      </c>
      <c r="L474" s="2" t="str">
        <f>_xlfn.XLOOKUP(D474,Products!A:A,Products!B:B)</f>
        <v>Office Chair</v>
      </c>
      <c r="M474" s="2" t="str">
        <f>_xlfn.XLOOKUP(D474,Products!A:A,Products!C:C)</f>
        <v>Furniture</v>
      </c>
      <c r="N474" s="2" t="str">
        <f>_xlfn.XLOOKUP(D474,Products!A:A,Products!D:D)</f>
        <v>Featherlite</v>
      </c>
      <c r="O474" s="2">
        <f>_xlfn.XLOOKUP(D474,Products!A:A,Products!E:E)</f>
        <v>4500</v>
      </c>
      <c r="P474" s="2">
        <f>_xlfn.XLOOKUP(D474,Products!A:A,Products!F:F)</f>
        <v>7500</v>
      </c>
      <c r="Q474" s="11">
        <f t="shared" si="35"/>
        <v>31426.170468187203</v>
      </c>
      <c r="R474" s="11">
        <f t="shared" si="36"/>
        <v>4443.1851503626613</v>
      </c>
      <c r="S474" s="11">
        <f t="shared" si="37"/>
        <v>26982.985317824543</v>
      </c>
      <c r="T474" s="11">
        <f t="shared" si="38"/>
        <v>18855.702280912323</v>
      </c>
      <c r="U474" s="11">
        <f t="shared" si="39"/>
        <v>8127.2830369122203</v>
      </c>
    </row>
    <row r="475" spans="1:21" x14ac:dyDescent="0.3">
      <c r="A475" s="2" t="s">
        <v>527</v>
      </c>
      <c r="B475" s="6">
        <v>46125</v>
      </c>
      <c r="C475" s="2" t="s">
        <v>60</v>
      </c>
      <c r="D475" s="2" t="s">
        <v>47</v>
      </c>
      <c r="E475" s="2" t="s">
        <v>14</v>
      </c>
      <c r="F475" s="2" t="s">
        <v>52</v>
      </c>
      <c r="G475" s="2" t="s">
        <v>16</v>
      </c>
      <c r="H475" s="11">
        <v>4.1937094837935103</v>
      </c>
      <c r="I475" s="7">
        <v>0.141532773109244</v>
      </c>
      <c r="J475" s="11">
        <v>0.74569027611045102</v>
      </c>
      <c r="K475" s="2" t="s">
        <v>17</v>
      </c>
      <c r="L475" s="2" t="str">
        <f>_xlfn.XLOOKUP(D475,Products!A:A,Products!B:B)</f>
        <v>Mixer Grinder</v>
      </c>
      <c r="M475" s="2" t="str">
        <f>_xlfn.XLOOKUP(D475,Products!A:A,Products!C:C)</f>
        <v>Home Appliances</v>
      </c>
      <c r="N475" s="2" t="str">
        <f>_xlfn.XLOOKUP(D475,Products!A:A,Products!D:D)</f>
        <v>Philips</v>
      </c>
      <c r="O475" s="2">
        <f>_xlfn.XLOOKUP(D475,Products!A:A,Products!E:E)</f>
        <v>2800</v>
      </c>
      <c r="P475" s="2">
        <f>_xlfn.XLOOKUP(D475,Products!A:A,Products!F:F)</f>
        <v>4800</v>
      </c>
      <c r="Q475" s="11">
        <f t="shared" si="35"/>
        <v>20129.805522208848</v>
      </c>
      <c r="R475" s="11">
        <f t="shared" si="36"/>
        <v>2849.0271977079919</v>
      </c>
      <c r="S475" s="11">
        <f t="shared" si="37"/>
        <v>17280.778324500854</v>
      </c>
      <c r="T475" s="11">
        <f t="shared" si="38"/>
        <v>11742.386554621829</v>
      </c>
      <c r="U475" s="11">
        <f t="shared" si="39"/>
        <v>5538.3917698790247</v>
      </c>
    </row>
    <row r="476" spans="1:21" x14ac:dyDescent="0.3">
      <c r="A476" s="2" t="s">
        <v>528</v>
      </c>
      <c r="B476" s="6">
        <v>46126</v>
      </c>
      <c r="C476" s="2" t="s">
        <v>62</v>
      </c>
      <c r="D476" s="2" t="s">
        <v>43</v>
      </c>
      <c r="E476" s="2" t="s">
        <v>27</v>
      </c>
      <c r="F476" s="2" t="s">
        <v>22</v>
      </c>
      <c r="G476" s="2" t="s">
        <v>23</v>
      </c>
      <c r="H476" s="11">
        <v>4.1972629051620602</v>
      </c>
      <c r="I476" s="7">
        <v>0.14168067226890799</v>
      </c>
      <c r="J476" s="11">
        <v>0.75774309723889999</v>
      </c>
      <c r="K476" s="2" t="s">
        <v>17</v>
      </c>
      <c r="L476" s="2" t="str">
        <f>_xlfn.XLOOKUP(D476,Products!A:A,Products!B:B)</f>
        <v>Smartphone</v>
      </c>
      <c r="M476" s="2" t="str">
        <f>_xlfn.XLOOKUP(D476,Products!A:A,Products!C:C)</f>
        <v>Electronics</v>
      </c>
      <c r="N476" s="2" t="str">
        <f>_xlfn.XLOOKUP(D476,Products!A:A,Products!D:D)</f>
        <v>Samsung</v>
      </c>
      <c r="O476" s="2">
        <f>_xlfn.XLOOKUP(D476,Products!A:A,Products!E:E)</f>
        <v>14000</v>
      </c>
      <c r="P476" s="2">
        <f>_xlfn.XLOOKUP(D476,Products!A:A,Products!F:F)</f>
        <v>22000</v>
      </c>
      <c r="Q476" s="11">
        <f t="shared" si="35"/>
        <v>92339.783913565319</v>
      </c>
      <c r="R476" s="11">
        <f t="shared" si="36"/>
        <v>13082.76266203963</v>
      </c>
      <c r="S476" s="11">
        <f t="shared" si="37"/>
        <v>79257.021251525686</v>
      </c>
      <c r="T476" s="11">
        <f t="shared" si="38"/>
        <v>58761.680672268842</v>
      </c>
      <c r="U476" s="11">
        <f t="shared" si="39"/>
        <v>20495.340579256845</v>
      </c>
    </row>
    <row r="477" spans="1:21" x14ac:dyDescent="0.3">
      <c r="A477" s="2" t="s">
        <v>529</v>
      </c>
      <c r="B477" s="6">
        <v>46126</v>
      </c>
      <c r="C477" s="2" t="s">
        <v>64</v>
      </c>
      <c r="D477" s="2" t="s">
        <v>51</v>
      </c>
      <c r="E477" s="2" t="s">
        <v>21</v>
      </c>
      <c r="F477" s="2" t="s">
        <v>15</v>
      </c>
      <c r="G477" s="2" t="s">
        <v>29</v>
      </c>
      <c r="H477" s="11">
        <v>4.2008163265306102</v>
      </c>
      <c r="I477" s="7">
        <v>0.141828571428571</v>
      </c>
      <c r="J477" s="11">
        <v>0.76979591836734995</v>
      </c>
      <c r="K477" s="2" t="s">
        <v>48</v>
      </c>
      <c r="L477" s="2" t="str">
        <f>_xlfn.XLOOKUP(D477,Products!A:A,Products!B:B)</f>
        <v>Shirt</v>
      </c>
      <c r="M477" s="2" t="str">
        <f>_xlfn.XLOOKUP(D477,Products!A:A,Products!C:C)</f>
        <v>Clothing</v>
      </c>
      <c r="N477" s="2" t="str">
        <f>_xlfn.XLOOKUP(D477,Products!A:A,Products!D:D)</f>
        <v>Levis</v>
      </c>
      <c r="O477" s="2">
        <f>_xlfn.XLOOKUP(D477,Products!A:A,Products!E:E)</f>
        <v>700</v>
      </c>
      <c r="P477" s="2">
        <f>_xlfn.XLOOKUP(D477,Products!A:A,Products!F:F)</f>
        <v>1500</v>
      </c>
      <c r="Q477" s="11">
        <f t="shared" si="35"/>
        <v>6301.2244897959154</v>
      </c>
      <c r="R477" s="11">
        <f t="shared" si="36"/>
        <v>893.69366763848086</v>
      </c>
      <c r="S477" s="11">
        <f t="shared" si="37"/>
        <v>5407.5308221574342</v>
      </c>
      <c r="T477" s="11">
        <f t="shared" si="38"/>
        <v>2940.5714285714271</v>
      </c>
      <c r="U477" s="11">
        <f t="shared" si="39"/>
        <v>2466.9593935860071</v>
      </c>
    </row>
    <row r="478" spans="1:21" x14ac:dyDescent="0.3">
      <c r="A478" s="2" t="s">
        <v>530</v>
      </c>
      <c r="B478" s="6">
        <v>46127</v>
      </c>
      <c r="C478" s="2" t="s">
        <v>66</v>
      </c>
      <c r="D478" s="2" t="s">
        <v>55</v>
      </c>
      <c r="E478" s="2" t="s">
        <v>38</v>
      </c>
      <c r="F478" s="2" t="s">
        <v>39</v>
      </c>
      <c r="G478" s="2" t="s">
        <v>16</v>
      </c>
      <c r="H478" s="11">
        <v>4.2043697478991504</v>
      </c>
      <c r="I478" s="7">
        <v>0.14197647058823501</v>
      </c>
      <c r="J478" s="11">
        <v>0.78184873949580103</v>
      </c>
      <c r="K478" s="2" t="s">
        <v>17</v>
      </c>
      <c r="L478" s="2" t="str">
        <f>_xlfn.XLOOKUP(D478,Products!A:A,Products!B:B)</f>
        <v>Sports Shoes</v>
      </c>
      <c r="M478" s="2" t="str">
        <f>_xlfn.XLOOKUP(D478,Products!A:A,Products!C:C)</f>
        <v>Sports</v>
      </c>
      <c r="N478" s="2" t="str">
        <f>_xlfn.XLOOKUP(D478,Products!A:A,Products!D:D)</f>
        <v>Nike</v>
      </c>
      <c r="O478" s="2">
        <f>_xlfn.XLOOKUP(D478,Products!A:A,Products!E:E)</f>
        <v>2200</v>
      </c>
      <c r="P478" s="2">
        <f>_xlfn.XLOOKUP(D478,Products!A:A,Products!F:F)</f>
        <v>4500</v>
      </c>
      <c r="Q478" s="11">
        <f t="shared" si="35"/>
        <v>18919.663865546176</v>
      </c>
      <c r="R478" s="11">
        <f t="shared" si="36"/>
        <v>2686.1471003460092</v>
      </c>
      <c r="S478" s="11">
        <f t="shared" si="37"/>
        <v>16233.516765200166</v>
      </c>
      <c r="T478" s="11">
        <f t="shared" si="38"/>
        <v>9249.6134453781306</v>
      </c>
      <c r="U478" s="11">
        <f t="shared" si="39"/>
        <v>6983.903319822035</v>
      </c>
    </row>
    <row r="479" spans="1:21" x14ac:dyDescent="0.3">
      <c r="A479" s="2" t="s">
        <v>531</v>
      </c>
      <c r="B479" s="6">
        <v>46127</v>
      </c>
      <c r="C479" s="2" t="s">
        <v>68</v>
      </c>
      <c r="D479" s="2" t="s">
        <v>58</v>
      </c>
      <c r="E479" s="2" t="s">
        <v>44</v>
      </c>
      <c r="F479" s="2" t="s">
        <v>41</v>
      </c>
      <c r="G479" s="2" t="s">
        <v>23</v>
      </c>
      <c r="H479" s="11">
        <v>4.2079231692677004</v>
      </c>
      <c r="I479" s="7">
        <v>0.14212436974789899</v>
      </c>
      <c r="J479" s="11">
        <v>0.79390156062424999</v>
      </c>
      <c r="K479" s="2" t="s">
        <v>17</v>
      </c>
      <c r="L479" s="2" t="str">
        <f>_xlfn.XLOOKUP(D479,Products!A:A,Products!B:B)</f>
        <v>Study Table</v>
      </c>
      <c r="M479" s="2" t="str">
        <f>_xlfn.XLOOKUP(D479,Products!A:A,Products!C:C)</f>
        <v>Furniture</v>
      </c>
      <c r="N479" s="2" t="str">
        <f>_xlfn.XLOOKUP(D479,Products!A:A,Products!D:D)</f>
        <v>Ikea</v>
      </c>
      <c r="O479" s="2">
        <f>_xlfn.XLOOKUP(D479,Products!A:A,Products!E:E)</f>
        <v>5000</v>
      </c>
      <c r="P479" s="2">
        <f>_xlfn.XLOOKUP(D479,Products!A:A,Products!F:F)</f>
        <v>8500</v>
      </c>
      <c r="Q479" s="11">
        <f t="shared" si="35"/>
        <v>35767.346938775452</v>
      </c>
      <c r="R479" s="11">
        <f t="shared" si="36"/>
        <v>5083.4116412279054</v>
      </c>
      <c r="S479" s="11">
        <f t="shared" si="37"/>
        <v>30683.935297547549</v>
      </c>
      <c r="T479" s="11">
        <f t="shared" si="38"/>
        <v>21039.615846338504</v>
      </c>
      <c r="U479" s="11">
        <f t="shared" si="39"/>
        <v>9644.3194512090449</v>
      </c>
    </row>
    <row r="480" spans="1:21" x14ac:dyDescent="0.3">
      <c r="A480" s="2" t="s">
        <v>532</v>
      </c>
      <c r="B480" s="6">
        <v>46128</v>
      </c>
      <c r="C480" s="2" t="s">
        <v>12</v>
      </c>
      <c r="D480" s="2" t="s">
        <v>13</v>
      </c>
      <c r="E480" s="2" t="s">
        <v>14</v>
      </c>
      <c r="F480" s="2" t="s">
        <v>15</v>
      </c>
      <c r="G480" s="2" t="s">
        <v>16</v>
      </c>
      <c r="H480" s="11">
        <v>4.2114765906362504</v>
      </c>
      <c r="I480" s="7">
        <v>0.142272268907563</v>
      </c>
      <c r="J480" s="11">
        <v>0.80595438175269996</v>
      </c>
      <c r="K480" s="2" t="s">
        <v>17</v>
      </c>
      <c r="L480" s="2" t="str">
        <f>_xlfn.XLOOKUP(D480,Products!A:A,Products!B:B)</f>
        <v>Laptop</v>
      </c>
      <c r="M480" s="2" t="str">
        <f>_xlfn.XLOOKUP(D480,Products!A:A,Products!C:C)</f>
        <v>Electronics</v>
      </c>
      <c r="N480" s="2" t="str">
        <f>_xlfn.XLOOKUP(D480,Products!A:A,Products!D:D)</f>
        <v>HP</v>
      </c>
      <c r="O480" s="2">
        <f>_xlfn.XLOOKUP(D480,Products!A:A,Products!E:E)</f>
        <v>42000</v>
      </c>
      <c r="P480" s="2">
        <f>_xlfn.XLOOKUP(D480,Products!A:A,Products!F:F)</f>
        <v>55000</v>
      </c>
      <c r="Q480" s="11">
        <f t="shared" si="35"/>
        <v>231631.21248499377</v>
      </c>
      <c r="R480" s="11">
        <f t="shared" si="36"/>
        <v>32954.698150049895</v>
      </c>
      <c r="S480" s="11">
        <f t="shared" si="37"/>
        <v>198676.51433494387</v>
      </c>
      <c r="T480" s="11">
        <f t="shared" si="38"/>
        <v>176882.0168067225</v>
      </c>
      <c r="U480" s="11">
        <f t="shared" si="39"/>
        <v>21794.497528221371</v>
      </c>
    </row>
    <row r="481" spans="1:21" x14ac:dyDescent="0.3">
      <c r="A481" s="2" t="s">
        <v>533</v>
      </c>
      <c r="B481" s="6">
        <v>46128</v>
      </c>
      <c r="C481" s="2" t="s">
        <v>19</v>
      </c>
      <c r="D481" s="2" t="s">
        <v>37</v>
      </c>
      <c r="E481" s="2" t="s">
        <v>27</v>
      </c>
      <c r="F481" s="2" t="s">
        <v>22</v>
      </c>
      <c r="G481" s="2" t="s">
        <v>29</v>
      </c>
      <c r="H481" s="11">
        <v>4.2150300120048003</v>
      </c>
      <c r="I481" s="7">
        <v>0.14242016806722699</v>
      </c>
      <c r="J481" s="11">
        <v>0.81800720288115103</v>
      </c>
      <c r="K481" s="2" t="s">
        <v>30</v>
      </c>
      <c r="L481" s="2" t="str">
        <f>_xlfn.XLOOKUP(D481,Products!A:A,Products!B:B)</f>
        <v>Headphones</v>
      </c>
      <c r="M481" s="2" t="str">
        <f>_xlfn.XLOOKUP(D481,Products!A:A,Products!C:C)</f>
        <v>Electronics</v>
      </c>
      <c r="N481" s="2" t="str">
        <f>_xlfn.XLOOKUP(D481,Products!A:A,Products!D:D)</f>
        <v>Sony</v>
      </c>
      <c r="O481" s="2">
        <f>_xlfn.XLOOKUP(D481,Products!A:A,Products!E:E)</f>
        <v>1800</v>
      </c>
      <c r="P481" s="2">
        <f>_xlfn.XLOOKUP(D481,Products!A:A,Products!F:F)</f>
        <v>3200</v>
      </c>
      <c r="Q481" s="11">
        <f t="shared" si="35"/>
        <v>13488.09603841536</v>
      </c>
      <c r="R481" s="11">
        <f t="shared" si="36"/>
        <v>1920.9769046980141</v>
      </c>
      <c r="S481" s="11">
        <f t="shared" si="37"/>
        <v>11567.119133717346</v>
      </c>
      <c r="T481" s="11">
        <f t="shared" si="38"/>
        <v>7587.0540216086401</v>
      </c>
      <c r="U481" s="11">
        <f t="shared" si="39"/>
        <v>3980.0651121087058</v>
      </c>
    </row>
    <row r="482" spans="1:21" x14ac:dyDescent="0.3">
      <c r="A482" s="2" t="s">
        <v>534</v>
      </c>
      <c r="B482" s="6">
        <v>46129</v>
      </c>
      <c r="C482" s="2" t="s">
        <v>25</v>
      </c>
      <c r="D482" s="2" t="s">
        <v>20</v>
      </c>
      <c r="E482" s="2" t="s">
        <v>21</v>
      </c>
      <c r="F482" s="2" t="s">
        <v>39</v>
      </c>
      <c r="G482" s="2" t="s">
        <v>23</v>
      </c>
      <c r="H482" s="11">
        <v>4.2185834333733396</v>
      </c>
      <c r="I482" s="7">
        <v>0.142568067226891</v>
      </c>
      <c r="J482" s="11">
        <v>0.83006002400961099</v>
      </c>
      <c r="K482" s="2" t="s">
        <v>17</v>
      </c>
      <c r="L482" s="2" t="str">
        <f>_xlfn.XLOOKUP(D482,Products!A:A,Products!B:B)</f>
        <v>Jeans</v>
      </c>
      <c r="M482" s="2" t="str">
        <f>_xlfn.XLOOKUP(D482,Products!A:A,Products!C:C)</f>
        <v>Clothing</v>
      </c>
      <c r="N482" s="2" t="str">
        <f>_xlfn.XLOOKUP(D482,Products!A:A,Products!D:D)</f>
        <v>Wrangler</v>
      </c>
      <c r="O482" s="2">
        <f>_xlfn.XLOOKUP(D482,Products!A:A,Products!E:E)</f>
        <v>1100</v>
      </c>
      <c r="P482" s="2">
        <f>_xlfn.XLOOKUP(D482,Products!A:A,Products!F:F)</f>
        <v>2200</v>
      </c>
      <c r="Q482" s="11">
        <f t="shared" si="35"/>
        <v>9280.8835534213467</v>
      </c>
      <c r="R482" s="11">
        <f t="shared" si="36"/>
        <v>1323.1576303691215</v>
      </c>
      <c r="S482" s="11">
        <f t="shared" si="37"/>
        <v>7957.725923052225</v>
      </c>
      <c r="T482" s="11">
        <f t="shared" si="38"/>
        <v>4640.4417767106734</v>
      </c>
      <c r="U482" s="11">
        <f t="shared" si="39"/>
        <v>3317.2841463415516</v>
      </c>
    </row>
    <row r="483" spans="1:21" x14ac:dyDescent="0.3">
      <c r="A483" s="2" t="s">
        <v>535</v>
      </c>
      <c r="B483" s="6">
        <v>46129</v>
      </c>
      <c r="C483" s="2" t="s">
        <v>32</v>
      </c>
      <c r="D483" s="2" t="s">
        <v>40</v>
      </c>
      <c r="E483" s="2" t="s">
        <v>38</v>
      </c>
      <c r="F483" s="2" t="s">
        <v>15</v>
      </c>
      <c r="G483" s="2" t="s">
        <v>16</v>
      </c>
      <c r="H483" s="11">
        <v>4.2221368547418896</v>
      </c>
      <c r="I483" s="7">
        <v>0.14271596638655501</v>
      </c>
      <c r="J483" s="11">
        <v>0.84211284513805995</v>
      </c>
      <c r="K483" s="2" t="s">
        <v>17</v>
      </c>
      <c r="L483" s="2" t="str">
        <f>_xlfn.XLOOKUP(D483,Products!A:A,Products!B:B)</f>
        <v>Office Chair</v>
      </c>
      <c r="M483" s="2" t="str">
        <f>_xlfn.XLOOKUP(D483,Products!A:A,Products!C:C)</f>
        <v>Furniture</v>
      </c>
      <c r="N483" s="2" t="str">
        <f>_xlfn.XLOOKUP(D483,Products!A:A,Products!D:D)</f>
        <v>Featherlite</v>
      </c>
      <c r="O483" s="2">
        <f>_xlfn.XLOOKUP(D483,Products!A:A,Products!E:E)</f>
        <v>4500</v>
      </c>
      <c r="P483" s="2">
        <f>_xlfn.XLOOKUP(D483,Products!A:A,Products!F:F)</f>
        <v>7500</v>
      </c>
      <c r="Q483" s="11">
        <f t="shared" si="35"/>
        <v>31666.026410564173</v>
      </c>
      <c r="R483" s="11">
        <f t="shared" si="36"/>
        <v>4519.2475608058394</v>
      </c>
      <c r="S483" s="11">
        <f t="shared" si="37"/>
        <v>27146.778849758331</v>
      </c>
      <c r="T483" s="11">
        <f t="shared" si="38"/>
        <v>18999.615846338504</v>
      </c>
      <c r="U483" s="11">
        <f t="shared" si="39"/>
        <v>8147.1630034198279</v>
      </c>
    </row>
    <row r="484" spans="1:21" x14ac:dyDescent="0.3">
      <c r="A484" s="2" t="s">
        <v>536</v>
      </c>
      <c r="B484" s="6">
        <v>46130</v>
      </c>
      <c r="C484" s="2" t="s">
        <v>34</v>
      </c>
      <c r="D484" s="2" t="s">
        <v>26</v>
      </c>
      <c r="E484" s="2" t="s">
        <v>44</v>
      </c>
      <c r="F484" s="2" t="s">
        <v>22</v>
      </c>
      <c r="G484" s="2" t="s">
        <v>42</v>
      </c>
      <c r="H484" s="11">
        <v>4.2256902761104396</v>
      </c>
      <c r="I484" s="7">
        <v>0.14286386554621799</v>
      </c>
      <c r="J484" s="11">
        <v>0.85416566626651003</v>
      </c>
      <c r="K484" s="2" t="s">
        <v>17</v>
      </c>
      <c r="L484" s="2" t="str">
        <f>_xlfn.XLOOKUP(D484,Products!A:A,Products!B:B)</f>
        <v>Face Wash</v>
      </c>
      <c r="M484" s="2" t="str">
        <f>_xlfn.XLOOKUP(D484,Products!A:A,Products!C:C)</f>
        <v>Beauty</v>
      </c>
      <c r="N484" s="2" t="str">
        <f>_xlfn.XLOOKUP(D484,Products!A:A,Products!D:D)</f>
        <v>Nivea</v>
      </c>
      <c r="O484" s="2">
        <f>_xlfn.XLOOKUP(D484,Products!A:A,Products!E:E)</f>
        <v>180</v>
      </c>
      <c r="P484" s="2">
        <f>_xlfn.XLOOKUP(D484,Products!A:A,Products!F:F)</f>
        <v>350</v>
      </c>
      <c r="Q484" s="11">
        <f t="shared" si="35"/>
        <v>1478.9915966386538</v>
      </c>
      <c r="R484" s="11">
        <f t="shared" si="36"/>
        <v>211.29445660617091</v>
      </c>
      <c r="S484" s="11">
        <f t="shared" si="37"/>
        <v>1267.6971400324828</v>
      </c>
      <c r="T484" s="11">
        <f t="shared" si="38"/>
        <v>760.6242496998791</v>
      </c>
      <c r="U484" s="11">
        <f t="shared" si="39"/>
        <v>507.07289033260372</v>
      </c>
    </row>
    <row r="485" spans="1:21" x14ac:dyDescent="0.3">
      <c r="A485" s="2" t="s">
        <v>537</v>
      </c>
      <c r="B485" s="6">
        <v>46130</v>
      </c>
      <c r="C485" s="2" t="s">
        <v>36</v>
      </c>
      <c r="D485" s="2" t="s">
        <v>47</v>
      </c>
      <c r="E485" s="2" t="s">
        <v>14</v>
      </c>
      <c r="F485" s="2" t="s">
        <v>41</v>
      </c>
      <c r="G485" s="2" t="s">
        <v>23</v>
      </c>
      <c r="H485" s="11">
        <v>4.2292436974789904</v>
      </c>
      <c r="I485" s="7">
        <v>0.14301176470588201</v>
      </c>
      <c r="J485" s="11">
        <v>0.86621848739496099</v>
      </c>
      <c r="K485" s="2" t="s">
        <v>17</v>
      </c>
      <c r="L485" s="2" t="str">
        <f>_xlfn.XLOOKUP(D485,Products!A:A,Products!B:B)</f>
        <v>Mixer Grinder</v>
      </c>
      <c r="M485" s="2" t="str">
        <f>_xlfn.XLOOKUP(D485,Products!A:A,Products!C:C)</f>
        <v>Home Appliances</v>
      </c>
      <c r="N485" s="2" t="str">
        <f>_xlfn.XLOOKUP(D485,Products!A:A,Products!D:D)</f>
        <v>Philips</v>
      </c>
      <c r="O485" s="2">
        <f>_xlfn.XLOOKUP(D485,Products!A:A,Products!E:E)</f>
        <v>2800</v>
      </c>
      <c r="P485" s="2">
        <f>_xlfn.XLOOKUP(D485,Products!A:A,Products!F:F)</f>
        <v>4800</v>
      </c>
      <c r="Q485" s="11">
        <f t="shared" si="35"/>
        <v>20300.369747899153</v>
      </c>
      <c r="R485" s="11">
        <f t="shared" si="36"/>
        <v>2903.1917018289587</v>
      </c>
      <c r="S485" s="11">
        <f t="shared" si="37"/>
        <v>17397.178046070192</v>
      </c>
      <c r="T485" s="11">
        <f t="shared" si="38"/>
        <v>11841.882352941173</v>
      </c>
      <c r="U485" s="11">
        <f t="shared" si="39"/>
        <v>5555.2956931290191</v>
      </c>
    </row>
    <row r="486" spans="1:21" x14ac:dyDescent="0.3">
      <c r="A486" s="2" t="s">
        <v>538</v>
      </c>
      <c r="B486" s="6">
        <v>46131</v>
      </c>
      <c r="C486" s="2" t="s">
        <v>46</v>
      </c>
      <c r="D486" s="2" t="s">
        <v>43</v>
      </c>
      <c r="E486" s="2" t="s">
        <v>27</v>
      </c>
      <c r="F486" s="2" t="s">
        <v>15</v>
      </c>
      <c r="G486" s="2" t="s">
        <v>16</v>
      </c>
      <c r="H486" s="11">
        <v>4.2327971188475297</v>
      </c>
      <c r="I486" s="7">
        <v>0.14315966386554599</v>
      </c>
      <c r="J486" s="11">
        <v>0.87827130852340995</v>
      </c>
      <c r="K486" s="2" t="s">
        <v>17</v>
      </c>
      <c r="L486" s="2" t="str">
        <f>_xlfn.XLOOKUP(D486,Products!A:A,Products!B:B)</f>
        <v>Smartphone</v>
      </c>
      <c r="M486" s="2" t="str">
        <f>_xlfn.XLOOKUP(D486,Products!A:A,Products!C:C)</f>
        <v>Electronics</v>
      </c>
      <c r="N486" s="2" t="str">
        <f>_xlfn.XLOOKUP(D486,Products!A:A,Products!D:D)</f>
        <v>Samsung</v>
      </c>
      <c r="O486" s="2">
        <f>_xlfn.XLOOKUP(D486,Products!A:A,Products!E:E)</f>
        <v>14000</v>
      </c>
      <c r="P486" s="2">
        <f>_xlfn.XLOOKUP(D486,Products!A:A,Products!F:F)</f>
        <v>22000</v>
      </c>
      <c r="Q486" s="11">
        <f t="shared" si="35"/>
        <v>93121.536614645651</v>
      </c>
      <c r="R486" s="11">
        <f t="shared" si="36"/>
        <v>13331.247880395804</v>
      </c>
      <c r="S486" s="11">
        <f t="shared" si="37"/>
        <v>79790.288734249843</v>
      </c>
      <c r="T486" s="11">
        <f t="shared" si="38"/>
        <v>59259.159663865415</v>
      </c>
      <c r="U486" s="11">
        <f t="shared" si="39"/>
        <v>20531.129070384428</v>
      </c>
    </row>
    <row r="487" spans="1:21" x14ac:dyDescent="0.3">
      <c r="A487" s="2" t="s">
        <v>539</v>
      </c>
      <c r="B487" s="6">
        <v>46131</v>
      </c>
      <c r="C487" s="2" t="s">
        <v>50</v>
      </c>
      <c r="D487" s="2" t="s">
        <v>51</v>
      </c>
      <c r="E487" s="2" t="s">
        <v>21</v>
      </c>
      <c r="F487" s="2" t="s">
        <v>52</v>
      </c>
      <c r="G487" s="2" t="s">
        <v>29</v>
      </c>
      <c r="H487" s="11">
        <v>4.2363505402160797</v>
      </c>
      <c r="I487" s="7">
        <v>0.14330756302521</v>
      </c>
      <c r="J487" s="11">
        <v>0.89032412965186003</v>
      </c>
      <c r="K487" s="2" t="s">
        <v>30</v>
      </c>
      <c r="L487" s="2" t="str">
        <f>_xlfn.XLOOKUP(D487,Products!A:A,Products!B:B)</f>
        <v>Shirt</v>
      </c>
      <c r="M487" s="2" t="str">
        <f>_xlfn.XLOOKUP(D487,Products!A:A,Products!C:C)</f>
        <v>Clothing</v>
      </c>
      <c r="N487" s="2" t="str">
        <f>_xlfn.XLOOKUP(D487,Products!A:A,Products!D:D)</f>
        <v>Levis</v>
      </c>
      <c r="O487" s="2">
        <f>_xlfn.XLOOKUP(D487,Products!A:A,Products!E:E)</f>
        <v>700</v>
      </c>
      <c r="P487" s="2">
        <f>_xlfn.XLOOKUP(D487,Products!A:A,Products!F:F)</f>
        <v>1500</v>
      </c>
      <c r="Q487" s="11">
        <f t="shared" si="35"/>
        <v>6354.5258103241194</v>
      </c>
      <c r="R487" s="11">
        <f t="shared" si="36"/>
        <v>910.65160805834739</v>
      </c>
      <c r="S487" s="11">
        <f t="shared" si="37"/>
        <v>5443.8742022657716</v>
      </c>
      <c r="T487" s="11">
        <f t="shared" si="38"/>
        <v>2965.4453781512557</v>
      </c>
      <c r="U487" s="11">
        <f t="shared" si="39"/>
        <v>2478.4288241145159</v>
      </c>
    </row>
    <row r="488" spans="1:21" x14ac:dyDescent="0.3">
      <c r="A488" s="2" t="s">
        <v>540</v>
      </c>
      <c r="B488" s="6">
        <v>46132</v>
      </c>
      <c r="C488" s="2" t="s">
        <v>54</v>
      </c>
      <c r="D488" s="2" t="s">
        <v>55</v>
      </c>
      <c r="E488" s="2" t="s">
        <v>38</v>
      </c>
      <c r="F488" s="2" t="s">
        <v>22</v>
      </c>
      <c r="G488" s="2" t="s">
        <v>16</v>
      </c>
      <c r="H488" s="11">
        <v>4.2399039615846297</v>
      </c>
      <c r="I488" s="7">
        <v>0.14345546218487401</v>
      </c>
      <c r="J488" s="11">
        <v>0.90237695078031099</v>
      </c>
      <c r="K488" s="2" t="s">
        <v>17</v>
      </c>
      <c r="L488" s="2" t="str">
        <f>_xlfn.XLOOKUP(D488,Products!A:A,Products!B:B)</f>
        <v>Sports Shoes</v>
      </c>
      <c r="M488" s="2" t="str">
        <f>_xlfn.XLOOKUP(D488,Products!A:A,Products!C:C)</f>
        <v>Sports</v>
      </c>
      <c r="N488" s="2" t="str">
        <f>_xlfn.XLOOKUP(D488,Products!A:A,Products!D:D)</f>
        <v>Nike</v>
      </c>
      <c r="O488" s="2">
        <f>_xlfn.XLOOKUP(D488,Products!A:A,Products!E:E)</f>
        <v>2200</v>
      </c>
      <c r="P488" s="2">
        <f>_xlfn.XLOOKUP(D488,Products!A:A,Products!F:F)</f>
        <v>4500</v>
      </c>
      <c r="Q488" s="11">
        <f t="shared" si="35"/>
        <v>19079.567827130835</v>
      </c>
      <c r="R488" s="11">
        <f t="shared" si="36"/>
        <v>2737.0682209287065</v>
      </c>
      <c r="S488" s="11">
        <f t="shared" si="37"/>
        <v>16342.499606202129</v>
      </c>
      <c r="T488" s="11">
        <f t="shared" si="38"/>
        <v>9327.7887154861855</v>
      </c>
      <c r="U488" s="11">
        <f t="shared" si="39"/>
        <v>7014.7108907159436</v>
      </c>
    </row>
    <row r="489" spans="1:21" x14ac:dyDescent="0.3">
      <c r="A489" s="2" t="s">
        <v>541</v>
      </c>
      <c r="B489" s="6">
        <v>46132</v>
      </c>
      <c r="C489" s="2" t="s">
        <v>57</v>
      </c>
      <c r="D489" s="2" t="s">
        <v>58</v>
      </c>
      <c r="E489" s="2" t="s">
        <v>44</v>
      </c>
      <c r="F489" s="2" t="s">
        <v>15</v>
      </c>
      <c r="G489" s="2" t="s">
        <v>23</v>
      </c>
      <c r="H489" s="11">
        <v>4.2434573829531796</v>
      </c>
      <c r="I489" s="7">
        <v>0.14360336134453799</v>
      </c>
      <c r="J489" s="11">
        <v>0.91442977190877095</v>
      </c>
      <c r="K489" s="2" t="s">
        <v>17</v>
      </c>
      <c r="L489" s="2" t="str">
        <f>_xlfn.XLOOKUP(D489,Products!A:A,Products!B:B)</f>
        <v>Study Table</v>
      </c>
      <c r="M489" s="2" t="str">
        <f>_xlfn.XLOOKUP(D489,Products!A:A,Products!C:C)</f>
        <v>Furniture</v>
      </c>
      <c r="N489" s="2" t="str">
        <f>_xlfn.XLOOKUP(D489,Products!A:A,Products!D:D)</f>
        <v>Ikea</v>
      </c>
      <c r="O489" s="2">
        <f>_xlfn.XLOOKUP(D489,Products!A:A,Products!E:E)</f>
        <v>5000</v>
      </c>
      <c r="P489" s="2">
        <f>_xlfn.XLOOKUP(D489,Products!A:A,Products!F:F)</f>
        <v>8500</v>
      </c>
      <c r="Q489" s="11">
        <f t="shared" si="35"/>
        <v>36069.387755102027</v>
      </c>
      <c r="R489" s="11">
        <f t="shared" si="36"/>
        <v>5179.6853232721705</v>
      </c>
      <c r="S489" s="11">
        <f t="shared" si="37"/>
        <v>30889.702431829857</v>
      </c>
      <c r="T489" s="11">
        <f t="shared" si="38"/>
        <v>21217.286914765897</v>
      </c>
      <c r="U489" s="11">
        <f t="shared" si="39"/>
        <v>9672.4155170639606</v>
      </c>
    </row>
    <row r="490" spans="1:21" x14ac:dyDescent="0.3">
      <c r="A490" s="2" t="s">
        <v>542</v>
      </c>
      <c r="B490" s="6">
        <v>46133</v>
      </c>
      <c r="C490" s="2" t="s">
        <v>60</v>
      </c>
      <c r="D490" s="2" t="s">
        <v>13</v>
      </c>
      <c r="E490" s="2" t="s">
        <v>14</v>
      </c>
      <c r="F490" s="2" t="s">
        <v>39</v>
      </c>
      <c r="G490" s="2" t="s">
        <v>16</v>
      </c>
      <c r="H490" s="11">
        <v>4.2470108043217198</v>
      </c>
      <c r="I490" s="7">
        <v>0.14375126050420201</v>
      </c>
      <c r="J490" s="11">
        <v>0.92648259303722003</v>
      </c>
      <c r="K490" s="2" t="s">
        <v>17</v>
      </c>
      <c r="L490" s="2" t="str">
        <f>_xlfn.XLOOKUP(D490,Products!A:A,Products!B:B)</f>
        <v>Laptop</v>
      </c>
      <c r="M490" s="2" t="str">
        <f>_xlfn.XLOOKUP(D490,Products!A:A,Products!C:C)</f>
        <v>Electronics</v>
      </c>
      <c r="N490" s="2" t="str">
        <f>_xlfn.XLOOKUP(D490,Products!A:A,Products!D:D)</f>
        <v>HP</v>
      </c>
      <c r="O490" s="2">
        <f>_xlfn.XLOOKUP(D490,Products!A:A,Products!E:E)</f>
        <v>42000</v>
      </c>
      <c r="P490" s="2">
        <f>_xlfn.XLOOKUP(D490,Products!A:A,Products!F:F)</f>
        <v>55000</v>
      </c>
      <c r="Q490" s="11">
        <f t="shared" si="35"/>
        <v>233585.5942376946</v>
      </c>
      <c r="R490" s="11">
        <f t="shared" si="36"/>
        <v>33578.223607291664</v>
      </c>
      <c r="S490" s="11">
        <f t="shared" si="37"/>
        <v>200007.37063040293</v>
      </c>
      <c r="T490" s="11">
        <f t="shared" si="38"/>
        <v>178374.45378151225</v>
      </c>
      <c r="U490" s="11">
        <f t="shared" si="39"/>
        <v>21632.916848890687</v>
      </c>
    </row>
    <row r="491" spans="1:21" x14ac:dyDescent="0.3">
      <c r="A491" s="2" t="s">
        <v>543</v>
      </c>
      <c r="B491" s="6">
        <v>46133</v>
      </c>
      <c r="C491" s="2" t="s">
        <v>62</v>
      </c>
      <c r="D491" s="2" t="s">
        <v>20</v>
      </c>
      <c r="E491" s="2" t="s">
        <v>27</v>
      </c>
      <c r="F491" s="2" t="s">
        <v>15</v>
      </c>
      <c r="G491" s="2" t="s">
        <v>29</v>
      </c>
      <c r="H491" s="11">
        <v>4.2505642256902698</v>
      </c>
      <c r="I491" s="7">
        <v>0.14389915966386599</v>
      </c>
      <c r="J491" s="11">
        <v>0.93853541416567099</v>
      </c>
      <c r="K491" s="2" t="s">
        <v>17</v>
      </c>
      <c r="L491" s="2" t="str">
        <f>_xlfn.XLOOKUP(D491,Products!A:A,Products!B:B)</f>
        <v>Jeans</v>
      </c>
      <c r="M491" s="2" t="str">
        <f>_xlfn.XLOOKUP(D491,Products!A:A,Products!C:C)</f>
        <v>Clothing</v>
      </c>
      <c r="N491" s="2" t="str">
        <f>_xlfn.XLOOKUP(D491,Products!A:A,Products!D:D)</f>
        <v>Wrangler</v>
      </c>
      <c r="O491" s="2">
        <f>_xlfn.XLOOKUP(D491,Products!A:A,Products!E:E)</f>
        <v>1100</v>
      </c>
      <c r="P491" s="2">
        <f>_xlfn.XLOOKUP(D491,Products!A:A,Products!F:F)</f>
        <v>2200</v>
      </c>
      <c r="Q491" s="11">
        <f t="shared" si="35"/>
        <v>9351.241296518594</v>
      </c>
      <c r="R491" s="11">
        <f t="shared" si="36"/>
        <v>1345.6357643830663</v>
      </c>
      <c r="S491" s="11">
        <f t="shared" si="37"/>
        <v>8005.6055321355279</v>
      </c>
      <c r="T491" s="11">
        <f t="shared" si="38"/>
        <v>4675.620648259297</v>
      </c>
      <c r="U491" s="11">
        <f t="shared" si="39"/>
        <v>3329.9848838762309</v>
      </c>
    </row>
    <row r="492" spans="1:21" x14ac:dyDescent="0.3">
      <c r="A492" s="2" t="s">
        <v>544</v>
      </c>
      <c r="B492" s="6">
        <v>46134</v>
      </c>
      <c r="C492" s="2" t="s">
        <v>64</v>
      </c>
      <c r="D492" s="2" t="s">
        <v>26</v>
      </c>
      <c r="E492" s="2" t="s">
        <v>21</v>
      </c>
      <c r="F492" s="2" t="s">
        <v>41</v>
      </c>
      <c r="G492" s="2" t="s">
        <v>23</v>
      </c>
      <c r="H492" s="11">
        <v>4.2541176470588198</v>
      </c>
      <c r="I492" s="7">
        <v>0.144047058823529</v>
      </c>
      <c r="J492" s="11">
        <v>0.95058823529412095</v>
      </c>
      <c r="K492" s="2" t="s">
        <v>17</v>
      </c>
      <c r="L492" s="2" t="str">
        <f>_xlfn.XLOOKUP(D492,Products!A:A,Products!B:B)</f>
        <v>Face Wash</v>
      </c>
      <c r="M492" s="2" t="str">
        <f>_xlfn.XLOOKUP(D492,Products!A:A,Products!C:C)</f>
        <v>Beauty</v>
      </c>
      <c r="N492" s="2" t="str">
        <f>_xlfn.XLOOKUP(D492,Products!A:A,Products!D:D)</f>
        <v>Nivea</v>
      </c>
      <c r="O492" s="2">
        <f>_xlfn.XLOOKUP(D492,Products!A:A,Products!E:E)</f>
        <v>180</v>
      </c>
      <c r="P492" s="2">
        <f>_xlfn.XLOOKUP(D492,Products!A:A,Products!F:F)</f>
        <v>350</v>
      </c>
      <c r="Q492" s="11">
        <f t="shared" si="35"/>
        <v>1488.9411764705869</v>
      </c>
      <c r="R492" s="11">
        <f t="shared" si="36"/>
        <v>214.4775972318331</v>
      </c>
      <c r="S492" s="11">
        <f t="shared" si="37"/>
        <v>1274.4635792387539</v>
      </c>
      <c r="T492" s="11">
        <f t="shared" si="38"/>
        <v>765.74117647058756</v>
      </c>
      <c r="U492" s="11">
        <f t="shared" si="39"/>
        <v>508.72240276816638</v>
      </c>
    </row>
    <row r="493" spans="1:21" x14ac:dyDescent="0.3">
      <c r="A493" s="2" t="s">
        <v>545</v>
      </c>
      <c r="B493" s="6">
        <v>46134</v>
      </c>
      <c r="C493" s="2" t="s">
        <v>66</v>
      </c>
      <c r="D493" s="2" t="s">
        <v>37</v>
      </c>
      <c r="E493" s="2" t="s">
        <v>38</v>
      </c>
      <c r="F493" s="2" t="s">
        <v>22</v>
      </c>
      <c r="G493" s="2" t="s">
        <v>16</v>
      </c>
      <c r="H493" s="11">
        <v>4.2576710684273698</v>
      </c>
      <c r="I493" s="7">
        <v>0.14419495798319301</v>
      </c>
      <c r="J493" s="11">
        <v>0.96264105642257003</v>
      </c>
      <c r="K493" s="2" t="s">
        <v>30</v>
      </c>
      <c r="L493" s="2" t="str">
        <f>_xlfn.XLOOKUP(D493,Products!A:A,Products!B:B)</f>
        <v>Headphones</v>
      </c>
      <c r="M493" s="2" t="str">
        <f>_xlfn.XLOOKUP(D493,Products!A:A,Products!C:C)</f>
        <v>Electronics</v>
      </c>
      <c r="N493" s="2" t="str">
        <f>_xlfn.XLOOKUP(D493,Products!A:A,Products!D:D)</f>
        <v>Sony</v>
      </c>
      <c r="O493" s="2">
        <f>_xlfn.XLOOKUP(D493,Products!A:A,Products!E:E)</f>
        <v>1800</v>
      </c>
      <c r="P493" s="2">
        <f>_xlfn.XLOOKUP(D493,Products!A:A,Products!F:F)</f>
        <v>3200</v>
      </c>
      <c r="Q493" s="11">
        <f t="shared" si="35"/>
        <v>13624.547418967582</v>
      </c>
      <c r="R493" s="11">
        <f t="shared" si="36"/>
        <v>1964.5910426180512</v>
      </c>
      <c r="S493" s="11">
        <f t="shared" si="37"/>
        <v>11659.956376349532</v>
      </c>
      <c r="T493" s="11">
        <f t="shared" si="38"/>
        <v>7663.8079231692655</v>
      </c>
      <c r="U493" s="11">
        <f t="shared" si="39"/>
        <v>3996.1484531802662</v>
      </c>
    </row>
    <row r="494" spans="1:21" x14ac:dyDescent="0.3">
      <c r="A494" s="2" t="s">
        <v>546</v>
      </c>
      <c r="B494" s="6">
        <v>46135</v>
      </c>
      <c r="C494" s="2" t="s">
        <v>68</v>
      </c>
      <c r="D494" s="2" t="s">
        <v>40</v>
      </c>
      <c r="E494" s="2" t="s">
        <v>44</v>
      </c>
      <c r="F494" s="2" t="s">
        <v>15</v>
      </c>
      <c r="G494" s="2" t="s">
        <v>42</v>
      </c>
      <c r="H494" s="11">
        <v>4.26122448979591</v>
      </c>
      <c r="I494" s="7">
        <v>0.144342857142857</v>
      </c>
      <c r="J494" s="11">
        <v>0.97469387755102099</v>
      </c>
      <c r="K494" s="2" t="s">
        <v>17</v>
      </c>
      <c r="L494" s="2" t="str">
        <f>_xlfn.XLOOKUP(D494,Products!A:A,Products!B:B)</f>
        <v>Office Chair</v>
      </c>
      <c r="M494" s="2" t="str">
        <f>_xlfn.XLOOKUP(D494,Products!A:A,Products!C:C)</f>
        <v>Furniture</v>
      </c>
      <c r="N494" s="2" t="str">
        <f>_xlfn.XLOOKUP(D494,Products!A:A,Products!D:D)</f>
        <v>Featherlite</v>
      </c>
      <c r="O494" s="2">
        <f>_xlfn.XLOOKUP(D494,Products!A:A,Products!E:E)</f>
        <v>4500</v>
      </c>
      <c r="P494" s="2">
        <f>_xlfn.XLOOKUP(D494,Products!A:A,Products!F:F)</f>
        <v>7500</v>
      </c>
      <c r="Q494" s="11">
        <f t="shared" si="35"/>
        <v>31959.183673469324</v>
      </c>
      <c r="R494" s="11">
        <f t="shared" si="36"/>
        <v>4613.0798833819099</v>
      </c>
      <c r="S494" s="11">
        <f t="shared" si="37"/>
        <v>27346.103790087414</v>
      </c>
      <c r="T494" s="11">
        <f t="shared" si="38"/>
        <v>19175.510204081595</v>
      </c>
      <c r="U494" s="11">
        <f t="shared" si="39"/>
        <v>8170.5935860058198</v>
      </c>
    </row>
    <row r="495" spans="1:21" x14ac:dyDescent="0.3">
      <c r="A495" s="2" t="s">
        <v>547</v>
      </c>
      <c r="B495" s="6">
        <v>46135</v>
      </c>
      <c r="C495" s="2" t="s">
        <v>12</v>
      </c>
      <c r="D495" s="2" t="s">
        <v>47</v>
      </c>
      <c r="E495" s="2" t="s">
        <v>14</v>
      </c>
      <c r="F495" s="2" t="s">
        <v>52</v>
      </c>
      <c r="G495" s="2" t="s">
        <v>16</v>
      </c>
      <c r="H495" s="11">
        <v>4.2647779111644599</v>
      </c>
      <c r="I495" s="7">
        <v>0.14449075630252101</v>
      </c>
      <c r="J495" s="11">
        <v>0.98674669867947096</v>
      </c>
      <c r="K495" s="2" t="s">
        <v>17</v>
      </c>
      <c r="L495" s="2" t="str">
        <f>_xlfn.XLOOKUP(D495,Products!A:A,Products!B:B)</f>
        <v>Mixer Grinder</v>
      </c>
      <c r="M495" s="2" t="str">
        <f>_xlfn.XLOOKUP(D495,Products!A:A,Products!C:C)</f>
        <v>Home Appliances</v>
      </c>
      <c r="N495" s="2" t="str">
        <f>_xlfn.XLOOKUP(D495,Products!A:A,Products!D:D)</f>
        <v>Philips</v>
      </c>
      <c r="O495" s="2">
        <f>_xlfn.XLOOKUP(D495,Products!A:A,Products!E:E)</f>
        <v>2800</v>
      </c>
      <c r="P495" s="2">
        <f>_xlfn.XLOOKUP(D495,Products!A:A,Products!F:F)</f>
        <v>4800</v>
      </c>
      <c r="Q495" s="11">
        <f t="shared" si="35"/>
        <v>20470.933973589406</v>
      </c>
      <c r="R495" s="11">
        <f t="shared" si="36"/>
        <v>2957.8607320629048</v>
      </c>
      <c r="S495" s="11">
        <f t="shared" si="37"/>
        <v>17513.073241526501</v>
      </c>
      <c r="T495" s="11">
        <f t="shared" si="38"/>
        <v>11941.378151260487</v>
      </c>
      <c r="U495" s="11">
        <f t="shared" si="39"/>
        <v>5571.6950902660137</v>
      </c>
    </row>
    <row r="496" spans="1:21" x14ac:dyDescent="0.3">
      <c r="A496" s="2" t="s">
        <v>548</v>
      </c>
      <c r="B496" s="6">
        <v>46136</v>
      </c>
      <c r="C496" s="2" t="s">
        <v>19</v>
      </c>
      <c r="D496" s="2" t="s">
        <v>43</v>
      </c>
      <c r="E496" s="2" t="s">
        <v>27</v>
      </c>
      <c r="F496" s="2" t="s">
        <v>22</v>
      </c>
      <c r="G496" s="2" t="s">
        <v>23</v>
      </c>
      <c r="H496" s="11">
        <v>4.2683313325330099</v>
      </c>
      <c r="I496" s="7">
        <v>0.14463865546218499</v>
      </c>
      <c r="J496" s="11">
        <v>0.99879951980793102</v>
      </c>
      <c r="K496" s="2" t="s">
        <v>17</v>
      </c>
      <c r="L496" s="2" t="str">
        <f>_xlfn.XLOOKUP(D496,Products!A:A,Products!B:B)</f>
        <v>Smartphone</v>
      </c>
      <c r="M496" s="2" t="str">
        <f>_xlfn.XLOOKUP(D496,Products!A:A,Products!C:C)</f>
        <v>Electronics</v>
      </c>
      <c r="N496" s="2" t="str">
        <f>_xlfn.XLOOKUP(D496,Products!A:A,Products!D:D)</f>
        <v>Samsung</v>
      </c>
      <c r="O496" s="2">
        <f>_xlfn.XLOOKUP(D496,Products!A:A,Products!E:E)</f>
        <v>14000</v>
      </c>
      <c r="P496" s="2">
        <f>_xlfn.XLOOKUP(D496,Products!A:A,Products!F:F)</f>
        <v>22000</v>
      </c>
      <c r="Q496" s="11">
        <f t="shared" si="35"/>
        <v>93903.289315726215</v>
      </c>
      <c r="R496" s="11">
        <f t="shared" si="36"/>
        <v>13582.0455101032</v>
      </c>
      <c r="S496" s="11">
        <f t="shared" si="37"/>
        <v>80321.243805623017</v>
      </c>
      <c r="T496" s="11">
        <f t="shared" si="38"/>
        <v>59756.638655462135</v>
      </c>
      <c r="U496" s="11">
        <f t="shared" si="39"/>
        <v>20564.605150160882</v>
      </c>
    </row>
    <row r="497" spans="1:21" x14ac:dyDescent="0.3">
      <c r="A497" s="2" t="s">
        <v>549</v>
      </c>
      <c r="B497" s="6">
        <v>46136</v>
      </c>
      <c r="C497" s="2" t="s">
        <v>25</v>
      </c>
      <c r="D497" s="2" t="s">
        <v>51</v>
      </c>
      <c r="E497" s="2" t="s">
        <v>21</v>
      </c>
      <c r="F497" s="2" t="s">
        <v>15</v>
      </c>
      <c r="G497" s="2" t="s">
        <v>29</v>
      </c>
      <c r="H497" s="11">
        <v>4.2718847539015599</v>
      </c>
      <c r="I497" s="7">
        <v>0.144786554621849</v>
      </c>
      <c r="J497" s="11">
        <v>1.0108523409363801</v>
      </c>
      <c r="K497" s="2" t="s">
        <v>17</v>
      </c>
      <c r="L497" s="2" t="str">
        <f>_xlfn.XLOOKUP(D497,Products!A:A,Products!B:B)</f>
        <v>Shirt</v>
      </c>
      <c r="M497" s="2" t="str">
        <f>_xlfn.XLOOKUP(D497,Products!A:A,Products!C:C)</f>
        <v>Clothing</v>
      </c>
      <c r="N497" s="2" t="str">
        <f>_xlfn.XLOOKUP(D497,Products!A:A,Products!D:D)</f>
        <v>Levis</v>
      </c>
      <c r="O497" s="2">
        <f>_xlfn.XLOOKUP(D497,Products!A:A,Products!E:E)</f>
        <v>700</v>
      </c>
      <c r="P497" s="2">
        <f>_xlfn.XLOOKUP(D497,Products!A:A,Products!F:F)</f>
        <v>1500</v>
      </c>
      <c r="Q497" s="11">
        <f t="shared" si="35"/>
        <v>6407.8271308523399</v>
      </c>
      <c r="R497" s="11">
        <f t="shared" si="36"/>
        <v>927.76721288851832</v>
      </c>
      <c r="S497" s="11">
        <f t="shared" si="37"/>
        <v>5480.0599179638211</v>
      </c>
      <c r="T497" s="11">
        <f t="shared" si="38"/>
        <v>2990.319327731092</v>
      </c>
      <c r="U497" s="11">
        <f t="shared" si="39"/>
        <v>2489.7405902327291</v>
      </c>
    </row>
    <row r="498" spans="1:21" x14ac:dyDescent="0.3">
      <c r="A498" s="2" t="s">
        <v>550</v>
      </c>
      <c r="B498" s="6">
        <v>46137</v>
      </c>
      <c r="C498" s="2" t="s">
        <v>32</v>
      </c>
      <c r="D498" s="2" t="s">
        <v>55</v>
      </c>
      <c r="E498" s="2" t="s">
        <v>38</v>
      </c>
      <c r="F498" s="2" t="s">
        <v>39</v>
      </c>
      <c r="G498" s="2" t="s">
        <v>16</v>
      </c>
      <c r="H498" s="11">
        <v>4.2754381752701001</v>
      </c>
      <c r="I498" s="7">
        <v>0.14493445378151301</v>
      </c>
      <c r="J498" s="11">
        <v>1.02290516206483</v>
      </c>
      <c r="K498" s="2" t="s">
        <v>17</v>
      </c>
      <c r="L498" s="2" t="str">
        <f>_xlfn.XLOOKUP(D498,Products!A:A,Products!B:B)</f>
        <v>Sports Shoes</v>
      </c>
      <c r="M498" s="2" t="str">
        <f>_xlfn.XLOOKUP(D498,Products!A:A,Products!C:C)</f>
        <v>Sports</v>
      </c>
      <c r="N498" s="2" t="str">
        <f>_xlfn.XLOOKUP(D498,Products!A:A,Products!D:D)</f>
        <v>Nike</v>
      </c>
      <c r="O498" s="2">
        <f>_xlfn.XLOOKUP(D498,Products!A:A,Products!E:E)</f>
        <v>2200</v>
      </c>
      <c r="P498" s="2">
        <f>_xlfn.XLOOKUP(D498,Products!A:A,Products!F:F)</f>
        <v>4500</v>
      </c>
      <c r="Q498" s="11">
        <f t="shared" si="35"/>
        <v>19239.471788715451</v>
      </c>
      <c r="R498" s="11">
        <f t="shared" si="36"/>
        <v>2788.462334742303</v>
      </c>
      <c r="S498" s="11">
        <f t="shared" si="37"/>
        <v>16451.009453973147</v>
      </c>
      <c r="T498" s="11">
        <f t="shared" si="38"/>
        <v>9405.9639855942205</v>
      </c>
      <c r="U498" s="11">
        <f t="shared" si="39"/>
        <v>7045.0454683789267</v>
      </c>
    </row>
    <row r="499" spans="1:21" x14ac:dyDescent="0.3">
      <c r="A499" s="2" t="s">
        <v>551</v>
      </c>
      <c r="B499" s="6">
        <v>46137</v>
      </c>
      <c r="C499" s="2" t="s">
        <v>34</v>
      </c>
      <c r="D499" s="2" t="s">
        <v>58</v>
      </c>
      <c r="E499" s="2" t="s">
        <v>44</v>
      </c>
      <c r="F499" s="2" t="s">
        <v>41</v>
      </c>
      <c r="G499" s="2" t="s">
        <v>23</v>
      </c>
      <c r="H499" s="11">
        <v>4.27899159663865</v>
      </c>
      <c r="I499" s="7">
        <v>0.145082352941176</v>
      </c>
      <c r="J499" s="11">
        <v>1.03495798319328</v>
      </c>
      <c r="K499" s="2" t="s">
        <v>30</v>
      </c>
      <c r="L499" s="2" t="str">
        <f>_xlfn.XLOOKUP(D499,Products!A:A,Products!B:B)</f>
        <v>Study Table</v>
      </c>
      <c r="M499" s="2" t="str">
        <f>_xlfn.XLOOKUP(D499,Products!A:A,Products!C:C)</f>
        <v>Furniture</v>
      </c>
      <c r="N499" s="2" t="str">
        <f>_xlfn.XLOOKUP(D499,Products!A:A,Products!D:D)</f>
        <v>Ikea</v>
      </c>
      <c r="O499" s="2">
        <f>_xlfn.XLOOKUP(D499,Products!A:A,Products!E:E)</f>
        <v>5000</v>
      </c>
      <c r="P499" s="2">
        <f>_xlfn.XLOOKUP(D499,Products!A:A,Products!F:F)</f>
        <v>8500</v>
      </c>
      <c r="Q499" s="11">
        <f t="shared" si="35"/>
        <v>36371.428571428529</v>
      </c>
      <c r="R499" s="11">
        <f t="shared" si="36"/>
        <v>5276.8524369747665</v>
      </c>
      <c r="S499" s="11">
        <f t="shared" si="37"/>
        <v>31094.57613445376</v>
      </c>
      <c r="T499" s="11">
        <f t="shared" si="38"/>
        <v>21394.95798319325</v>
      </c>
      <c r="U499" s="11">
        <f t="shared" si="39"/>
        <v>9699.6181512605108</v>
      </c>
    </row>
    <row r="500" spans="1:21" x14ac:dyDescent="0.3">
      <c r="A500" s="2" t="s">
        <v>552</v>
      </c>
      <c r="B500" s="6">
        <v>46113</v>
      </c>
      <c r="C500" s="2" t="s">
        <v>12</v>
      </c>
      <c r="D500" s="2" t="s">
        <v>13</v>
      </c>
      <c r="E500" s="2" t="s">
        <v>14</v>
      </c>
      <c r="F500" s="2" t="s">
        <v>15</v>
      </c>
      <c r="G500" s="2" t="s">
        <v>16</v>
      </c>
      <c r="H500" s="11">
        <v>4.2825450180072</v>
      </c>
      <c r="I500" s="7">
        <v>0.14523025210084001</v>
      </c>
      <c r="J500" s="11">
        <v>1.0470108043217301</v>
      </c>
      <c r="K500" s="2" t="s">
        <v>17</v>
      </c>
      <c r="L500" s="2" t="str">
        <f>_xlfn.XLOOKUP(D500,Products!A:A,Products!B:B)</f>
        <v>Laptop</v>
      </c>
      <c r="M500" s="2" t="str">
        <f>_xlfn.XLOOKUP(D500,Products!A:A,Products!C:C)</f>
        <v>Electronics</v>
      </c>
      <c r="N500" s="2" t="str">
        <f>_xlfn.XLOOKUP(D500,Products!A:A,Products!D:D)</f>
        <v>HP</v>
      </c>
      <c r="O500" s="2">
        <f>_xlfn.XLOOKUP(D500,Products!A:A,Products!E:E)</f>
        <v>42000</v>
      </c>
      <c r="P500" s="2">
        <f>_xlfn.XLOOKUP(D500,Products!A:A,Products!F:F)</f>
        <v>55000</v>
      </c>
      <c r="Q500" s="11">
        <f t="shared" si="35"/>
        <v>235539.97599039599</v>
      </c>
      <c r="R500" s="11">
        <f t="shared" si="36"/>
        <v>34207.530092911009</v>
      </c>
      <c r="S500" s="11">
        <f t="shared" si="37"/>
        <v>201332.44589748498</v>
      </c>
      <c r="T500" s="11">
        <f t="shared" si="38"/>
        <v>179866.8907563024</v>
      </c>
      <c r="U500" s="11">
        <f t="shared" si="39"/>
        <v>21465.555141182587</v>
      </c>
    </row>
    <row r="501" spans="1:21" x14ac:dyDescent="0.3">
      <c r="A501" s="2" t="s">
        <v>553</v>
      </c>
      <c r="B501" s="6">
        <v>46113</v>
      </c>
      <c r="C501" s="2" t="s">
        <v>19</v>
      </c>
      <c r="D501" s="2" t="s">
        <v>20</v>
      </c>
      <c r="E501" s="2" t="s">
        <v>21</v>
      </c>
      <c r="F501" s="2" t="s">
        <v>22</v>
      </c>
      <c r="G501" s="2" t="s">
        <v>23</v>
      </c>
      <c r="H501" s="11">
        <v>4.2860984393757402</v>
      </c>
      <c r="I501" s="7">
        <v>0.14537815126050399</v>
      </c>
      <c r="J501" s="11">
        <v>1.05906362545018</v>
      </c>
      <c r="K501" s="2" t="s">
        <v>17</v>
      </c>
      <c r="L501" s="2" t="str">
        <f>_xlfn.XLOOKUP(D501,Products!A:A,Products!B:B)</f>
        <v>Jeans</v>
      </c>
      <c r="M501" s="2" t="str">
        <f>_xlfn.XLOOKUP(D501,Products!A:A,Products!C:C)</f>
        <v>Clothing</v>
      </c>
      <c r="N501" s="2" t="str">
        <f>_xlfn.XLOOKUP(D501,Products!A:A,Products!D:D)</f>
        <v>Wrangler</v>
      </c>
      <c r="O501" s="2">
        <f>_xlfn.XLOOKUP(D501,Products!A:A,Products!E:E)</f>
        <v>1100</v>
      </c>
      <c r="P501" s="2">
        <f>_xlfn.XLOOKUP(D501,Products!A:A,Products!F:F)</f>
        <v>2200</v>
      </c>
      <c r="Q501" s="11">
        <f t="shared" si="35"/>
        <v>9429.416566626629</v>
      </c>
      <c r="R501" s="11">
        <f t="shared" si="36"/>
        <v>1370.8311479213482</v>
      </c>
      <c r="S501" s="11">
        <f t="shared" si="37"/>
        <v>8058.585418705281</v>
      </c>
      <c r="T501" s="11">
        <f t="shared" si="38"/>
        <v>4714.7082833133145</v>
      </c>
      <c r="U501" s="11">
        <f t="shared" si="39"/>
        <v>3343.8771353919665</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CBB7C-893D-471A-B252-13AD0EEA445C}">
  <dimension ref="A1:F501"/>
  <sheetViews>
    <sheetView workbookViewId="0">
      <selection activeCell="H16" sqref="H16"/>
    </sheetView>
  </sheetViews>
  <sheetFormatPr defaultRowHeight="14.4" x14ac:dyDescent="0.3"/>
  <cols>
    <col min="1" max="1" width="10.109375" bestFit="1" customWidth="1"/>
    <col min="2" max="2" width="13.33203125" bestFit="1" customWidth="1"/>
    <col min="3" max="3" width="15.109375" bestFit="1" customWidth="1"/>
    <col min="4" max="4" width="9.77734375" bestFit="1" customWidth="1"/>
    <col min="5" max="5" width="9.109375" bestFit="1" customWidth="1"/>
    <col min="6" max="6" width="12" bestFit="1" customWidth="1"/>
  </cols>
  <sheetData>
    <row r="1" spans="1:6" x14ac:dyDescent="0.3">
      <c r="A1" s="3" t="s">
        <v>3</v>
      </c>
      <c r="B1" s="3" t="s">
        <v>554</v>
      </c>
      <c r="C1" s="3" t="s">
        <v>555</v>
      </c>
      <c r="D1" s="3" t="s">
        <v>556</v>
      </c>
      <c r="E1" s="3" t="s">
        <v>557</v>
      </c>
      <c r="F1" s="3" t="s">
        <v>558</v>
      </c>
    </row>
    <row r="2" spans="1:6" x14ac:dyDescent="0.3">
      <c r="A2" s="2" t="s">
        <v>13</v>
      </c>
      <c r="B2" s="2" t="s">
        <v>559</v>
      </c>
      <c r="C2" s="2" t="s">
        <v>560</v>
      </c>
      <c r="D2" s="2" t="s">
        <v>561</v>
      </c>
      <c r="E2" s="11">
        <v>42000</v>
      </c>
      <c r="F2" s="11">
        <v>55000</v>
      </c>
    </row>
    <row r="3" spans="1:6" x14ac:dyDescent="0.3">
      <c r="A3" s="2" t="s">
        <v>43</v>
      </c>
      <c r="B3" s="2" t="s">
        <v>562</v>
      </c>
      <c r="C3" s="2" t="s">
        <v>560</v>
      </c>
      <c r="D3" s="2" t="s">
        <v>563</v>
      </c>
      <c r="E3" s="11">
        <v>14000</v>
      </c>
      <c r="F3" s="11">
        <v>22000</v>
      </c>
    </row>
    <row r="4" spans="1:6" x14ac:dyDescent="0.3">
      <c r="A4" s="2" t="s">
        <v>37</v>
      </c>
      <c r="B4" s="2" t="s">
        <v>564</v>
      </c>
      <c r="C4" s="2" t="s">
        <v>560</v>
      </c>
      <c r="D4" s="2" t="s">
        <v>565</v>
      </c>
      <c r="E4" s="11">
        <v>1800</v>
      </c>
      <c r="F4" s="11">
        <v>3200</v>
      </c>
    </row>
    <row r="5" spans="1:6" x14ac:dyDescent="0.3">
      <c r="A5" s="2" t="s">
        <v>51</v>
      </c>
      <c r="B5" s="2" t="s">
        <v>566</v>
      </c>
      <c r="C5" s="2" t="s">
        <v>567</v>
      </c>
      <c r="D5" s="2" t="s">
        <v>568</v>
      </c>
      <c r="E5" s="11">
        <v>700</v>
      </c>
      <c r="F5" s="11">
        <v>1500</v>
      </c>
    </row>
    <row r="6" spans="1:6" x14ac:dyDescent="0.3">
      <c r="A6" s="2" t="s">
        <v>20</v>
      </c>
      <c r="B6" s="2" t="s">
        <v>569</v>
      </c>
      <c r="C6" s="2" t="s">
        <v>567</v>
      </c>
      <c r="D6" s="2" t="s">
        <v>570</v>
      </c>
      <c r="E6" s="11">
        <v>1100</v>
      </c>
      <c r="F6" s="11">
        <v>2200</v>
      </c>
    </row>
    <row r="7" spans="1:6" x14ac:dyDescent="0.3">
      <c r="A7" s="2" t="s">
        <v>55</v>
      </c>
      <c r="B7" s="2" t="s">
        <v>571</v>
      </c>
      <c r="C7" s="2" t="s">
        <v>572</v>
      </c>
      <c r="D7" s="2" t="s">
        <v>573</v>
      </c>
      <c r="E7" s="11">
        <v>2200</v>
      </c>
      <c r="F7" s="11">
        <v>4500</v>
      </c>
    </row>
    <row r="8" spans="1:6" x14ac:dyDescent="0.3">
      <c r="A8" s="2" t="s">
        <v>40</v>
      </c>
      <c r="B8" s="2" t="s">
        <v>574</v>
      </c>
      <c r="C8" s="2" t="s">
        <v>575</v>
      </c>
      <c r="D8" s="2" t="s">
        <v>576</v>
      </c>
      <c r="E8" s="11">
        <v>4500</v>
      </c>
      <c r="F8" s="11">
        <v>7500</v>
      </c>
    </row>
    <row r="9" spans="1:6" x14ac:dyDescent="0.3">
      <c r="A9" s="2" t="s">
        <v>58</v>
      </c>
      <c r="B9" s="2" t="s">
        <v>577</v>
      </c>
      <c r="C9" s="2" t="s">
        <v>575</v>
      </c>
      <c r="D9" s="2" t="s">
        <v>578</v>
      </c>
      <c r="E9" s="11">
        <v>5000</v>
      </c>
      <c r="F9" s="11">
        <v>8500</v>
      </c>
    </row>
    <row r="10" spans="1:6" x14ac:dyDescent="0.3">
      <c r="A10" s="2" t="s">
        <v>47</v>
      </c>
      <c r="B10" s="2" t="s">
        <v>579</v>
      </c>
      <c r="C10" s="2" t="s">
        <v>580</v>
      </c>
      <c r="D10" s="2" t="s">
        <v>581</v>
      </c>
      <c r="E10" s="11">
        <v>2800</v>
      </c>
      <c r="F10" s="11">
        <v>4800</v>
      </c>
    </row>
    <row r="11" spans="1:6" x14ac:dyDescent="0.3">
      <c r="A11" s="2" t="s">
        <v>26</v>
      </c>
      <c r="B11" s="2" t="s">
        <v>582</v>
      </c>
      <c r="C11" s="2" t="s">
        <v>583</v>
      </c>
      <c r="D11" s="2" t="s">
        <v>584</v>
      </c>
      <c r="E11" s="11">
        <v>180</v>
      </c>
      <c r="F11" s="11">
        <v>350</v>
      </c>
    </row>
    <row r="12" spans="1:6" x14ac:dyDescent="0.3">
      <c r="A12" s="2" t="s">
        <v>585</v>
      </c>
      <c r="B12" s="2" t="s">
        <v>559</v>
      </c>
      <c r="C12" s="2" t="s">
        <v>560</v>
      </c>
      <c r="D12" s="2" t="s">
        <v>561</v>
      </c>
      <c r="E12" s="11">
        <v>6781.3333333333203</v>
      </c>
      <c r="F12" s="11">
        <v>7893.3333333333603</v>
      </c>
    </row>
    <row r="13" spans="1:6" x14ac:dyDescent="0.3">
      <c r="A13" s="2" t="s">
        <v>586</v>
      </c>
      <c r="B13" s="2" t="s">
        <v>562</v>
      </c>
      <c r="C13" s="2" t="s">
        <v>560</v>
      </c>
      <c r="D13" s="2" t="s">
        <v>563</v>
      </c>
      <c r="E13" s="11">
        <v>9364.8484848485205</v>
      </c>
      <c r="F13" s="11">
        <v>11320.303030303099</v>
      </c>
    </row>
    <row r="14" spans="1:6" x14ac:dyDescent="0.3">
      <c r="A14" s="2" t="s">
        <v>587</v>
      </c>
      <c r="B14" s="2" t="s">
        <v>564</v>
      </c>
      <c r="C14" s="2" t="s">
        <v>560</v>
      </c>
      <c r="D14" s="2" t="s">
        <v>565</v>
      </c>
      <c r="E14" s="11">
        <v>11948.3636363636</v>
      </c>
      <c r="F14" s="11">
        <v>14747.272727272801</v>
      </c>
    </row>
    <row r="15" spans="1:6" x14ac:dyDescent="0.3">
      <c r="A15" s="2" t="s">
        <v>588</v>
      </c>
      <c r="B15" s="2" t="s">
        <v>566</v>
      </c>
      <c r="C15" s="2" t="s">
        <v>567</v>
      </c>
      <c r="D15" s="2" t="s">
        <v>568</v>
      </c>
      <c r="E15" s="11">
        <v>14531.878787878801</v>
      </c>
      <c r="F15" s="11">
        <v>18174.2424242425</v>
      </c>
    </row>
    <row r="16" spans="1:6" x14ac:dyDescent="0.3">
      <c r="A16" s="2" t="s">
        <v>589</v>
      </c>
      <c r="B16" s="2" t="s">
        <v>569</v>
      </c>
      <c r="C16" s="2" t="s">
        <v>567</v>
      </c>
      <c r="D16" s="2" t="s">
        <v>570</v>
      </c>
      <c r="E16" s="11">
        <v>17115.3939393939</v>
      </c>
      <c r="F16" s="11">
        <v>21601.2121212122</v>
      </c>
    </row>
    <row r="17" spans="1:6" x14ac:dyDescent="0.3">
      <c r="A17" s="2" t="s">
        <v>590</v>
      </c>
      <c r="B17" s="2" t="s">
        <v>571</v>
      </c>
      <c r="C17" s="2" t="s">
        <v>572</v>
      </c>
      <c r="D17" s="2" t="s">
        <v>573</v>
      </c>
      <c r="E17" s="11">
        <v>19698.909090909099</v>
      </c>
      <c r="F17" s="11">
        <v>25028.1818181819</v>
      </c>
    </row>
    <row r="18" spans="1:6" x14ac:dyDescent="0.3">
      <c r="A18" s="2" t="s">
        <v>591</v>
      </c>
      <c r="B18" s="2" t="s">
        <v>574</v>
      </c>
      <c r="C18" s="2" t="s">
        <v>575</v>
      </c>
      <c r="D18" s="2" t="s">
        <v>576</v>
      </c>
      <c r="E18" s="11">
        <v>22282.4242424242</v>
      </c>
      <c r="F18" s="11">
        <v>28455.1515151516</v>
      </c>
    </row>
    <row r="19" spans="1:6" x14ac:dyDescent="0.3">
      <c r="A19" s="2" t="s">
        <v>592</v>
      </c>
      <c r="B19" s="2" t="s">
        <v>577</v>
      </c>
      <c r="C19" s="2" t="s">
        <v>575</v>
      </c>
      <c r="D19" s="2" t="s">
        <v>578</v>
      </c>
      <c r="E19" s="11">
        <v>24865.939393939399</v>
      </c>
      <c r="F19" s="11">
        <v>31882.121212121299</v>
      </c>
    </row>
    <row r="20" spans="1:6" x14ac:dyDescent="0.3">
      <c r="A20" s="2" t="s">
        <v>593</v>
      </c>
      <c r="B20" s="2" t="s">
        <v>579</v>
      </c>
      <c r="C20" s="2" t="s">
        <v>580</v>
      </c>
      <c r="D20" s="2" t="s">
        <v>581</v>
      </c>
      <c r="E20" s="11">
        <v>27449.4545454545</v>
      </c>
      <c r="F20" s="11">
        <v>35309.090909090999</v>
      </c>
    </row>
    <row r="21" spans="1:6" x14ac:dyDescent="0.3">
      <c r="A21" s="2" t="s">
        <v>594</v>
      </c>
      <c r="B21" s="2" t="s">
        <v>582</v>
      </c>
      <c r="C21" s="2" t="s">
        <v>583</v>
      </c>
      <c r="D21" s="2" t="s">
        <v>584</v>
      </c>
      <c r="E21" s="11">
        <v>30032.9696969697</v>
      </c>
      <c r="F21" s="11">
        <v>38736.060606060702</v>
      </c>
    </row>
    <row r="22" spans="1:6" x14ac:dyDescent="0.3">
      <c r="A22" s="2" t="s">
        <v>595</v>
      </c>
      <c r="B22" s="2" t="s">
        <v>559</v>
      </c>
      <c r="C22" s="2" t="s">
        <v>560</v>
      </c>
      <c r="D22" s="2" t="s">
        <v>561</v>
      </c>
      <c r="E22" s="11">
        <v>32616.484848484801</v>
      </c>
      <c r="F22" s="11">
        <v>42163.030303030398</v>
      </c>
    </row>
    <row r="23" spans="1:6" x14ac:dyDescent="0.3">
      <c r="A23" s="2" t="s">
        <v>596</v>
      </c>
      <c r="B23" s="2" t="s">
        <v>562</v>
      </c>
      <c r="C23" s="2" t="s">
        <v>560</v>
      </c>
      <c r="D23" s="2" t="s">
        <v>563</v>
      </c>
      <c r="E23" s="11">
        <v>35200</v>
      </c>
      <c r="F23" s="11">
        <v>45590</v>
      </c>
    </row>
    <row r="24" spans="1:6" x14ac:dyDescent="0.3">
      <c r="A24" s="2" t="s">
        <v>597</v>
      </c>
      <c r="B24" s="2" t="s">
        <v>564</v>
      </c>
      <c r="C24" s="2" t="s">
        <v>560</v>
      </c>
      <c r="D24" s="2" t="s">
        <v>565</v>
      </c>
      <c r="E24" s="11">
        <v>37783.515151515101</v>
      </c>
      <c r="F24" s="11">
        <v>49016.969696969703</v>
      </c>
    </row>
    <row r="25" spans="1:6" x14ac:dyDescent="0.3">
      <c r="A25" s="2" t="s">
        <v>598</v>
      </c>
      <c r="B25" s="2" t="s">
        <v>566</v>
      </c>
      <c r="C25" s="2" t="s">
        <v>567</v>
      </c>
      <c r="D25" s="2" t="s">
        <v>568</v>
      </c>
      <c r="E25" s="11">
        <v>40367.030303030297</v>
      </c>
      <c r="F25" s="11">
        <v>52443.939393939399</v>
      </c>
    </row>
    <row r="26" spans="1:6" x14ac:dyDescent="0.3">
      <c r="A26" s="2" t="s">
        <v>599</v>
      </c>
      <c r="B26" s="2" t="s">
        <v>569</v>
      </c>
      <c r="C26" s="2" t="s">
        <v>567</v>
      </c>
      <c r="D26" s="2" t="s">
        <v>570</v>
      </c>
      <c r="E26" s="11">
        <v>42950.545454545398</v>
      </c>
      <c r="F26" s="11">
        <v>55870.909090909103</v>
      </c>
    </row>
    <row r="27" spans="1:6" x14ac:dyDescent="0.3">
      <c r="A27" s="2" t="s">
        <v>600</v>
      </c>
      <c r="B27" s="2" t="s">
        <v>571</v>
      </c>
      <c r="C27" s="2" t="s">
        <v>572</v>
      </c>
      <c r="D27" s="2" t="s">
        <v>573</v>
      </c>
      <c r="E27" s="11">
        <v>45534.060606060601</v>
      </c>
      <c r="F27" s="11">
        <v>59297.878787878799</v>
      </c>
    </row>
    <row r="28" spans="1:6" x14ac:dyDescent="0.3">
      <c r="A28" s="2" t="s">
        <v>601</v>
      </c>
      <c r="B28" s="2" t="s">
        <v>574</v>
      </c>
      <c r="C28" s="2" t="s">
        <v>575</v>
      </c>
      <c r="D28" s="2" t="s">
        <v>576</v>
      </c>
      <c r="E28" s="11">
        <v>48117.575757575803</v>
      </c>
      <c r="F28" s="11">
        <v>62724.848484848502</v>
      </c>
    </row>
    <row r="29" spans="1:6" x14ac:dyDescent="0.3">
      <c r="A29" s="2" t="s">
        <v>602</v>
      </c>
      <c r="B29" s="2" t="s">
        <v>577</v>
      </c>
      <c r="C29" s="2" t="s">
        <v>575</v>
      </c>
      <c r="D29" s="2" t="s">
        <v>578</v>
      </c>
      <c r="E29" s="11">
        <v>50701.090909090897</v>
      </c>
      <c r="F29" s="11">
        <v>66151.818181818104</v>
      </c>
    </row>
    <row r="30" spans="1:6" x14ac:dyDescent="0.3">
      <c r="A30" s="2" t="s">
        <v>603</v>
      </c>
      <c r="B30" s="2" t="s">
        <v>579</v>
      </c>
      <c r="C30" s="2" t="s">
        <v>580</v>
      </c>
      <c r="D30" s="2" t="s">
        <v>581</v>
      </c>
      <c r="E30" s="11">
        <v>53284.6060606061</v>
      </c>
      <c r="F30" s="11">
        <v>69578.787878787902</v>
      </c>
    </row>
    <row r="31" spans="1:6" x14ac:dyDescent="0.3">
      <c r="A31" s="2" t="s">
        <v>604</v>
      </c>
      <c r="B31" s="2" t="s">
        <v>582</v>
      </c>
      <c r="C31" s="2" t="s">
        <v>583</v>
      </c>
      <c r="D31" s="2" t="s">
        <v>584</v>
      </c>
      <c r="E31" s="11">
        <v>55868.121212121201</v>
      </c>
      <c r="F31" s="11">
        <v>73005.757575757598</v>
      </c>
    </row>
    <row r="32" spans="1:6" x14ac:dyDescent="0.3">
      <c r="A32" s="2" t="s">
        <v>605</v>
      </c>
      <c r="B32" s="2" t="s">
        <v>559</v>
      </c>
      <c r="C32" s="2" t="s">
        <v>560</v>
      </c>
      <c r="D32" s="2" t="s">
        <v>561</v>
      </c>
      <c r="E32" s="11">
        <v>58451.636363636397</v>
      </c>
      <c r="F32" s="11">
        <v>76432.727272727396</v>
      </c>
    </row>
    <row r="33" spans="1:6" x14ac:dyDescent="0.3">
      <c r="A33" s="2" t="s">
        <v>606</v>
      </c>
      <c r="B33" s="2" t="s">
        <v>562</v>
      </c>
      <c r="C33" s="2" t="s">
        <v>560</v>
      </c>
      <c r="D33" s="2" t="s">
        <v>563</v>
      </c>
      <c r="E33" s="11">
        <v>61035.151515151498</v>
      </c>
      <c r="F33" s="11">
        <v>79859.696969697397</v>
      </c>
    </row>
    <row r="34" spans="1:6" x14ac:dyDescent="0.3">
      <c r="A34" s="2" t="s">
        <v>607</v>
      </c>
      <c r="B34" s="2" t="s">
        <v>564</v>
      </c>
      <c r="C34" s="2" t="s">
        <v>560</v>
      </c>
      <c r="D34" s="2" t="s">
        <v>565</v>
      </c>
      <c r="E34" s="11">
        <v>63618.666666666701</v>
      </c>
      <c r="F34" s="11">
        <v>83286.666666666395</v>
      </c>
    </row>
    <row r="35" spans="1:6" x14ac:dyDescent="0.3">
      <c r="A35" s="2" t="s">
        <v>608</v>
      </c>
      <c r="B35" s="2" t="s">
        <v>566</v>
      </c>
      <c r="C35" s="2" t="s">
        <v>567</v>
      </c>
      <c r="D35" s="2" t="s">
        <v>568</v>
      </c>
      <c r="E35" s="11">
        <v>66202.181818181794</v>
      </c>
      <c r="F35" s="11">
        <v>86713.636363636397</v>
      </c>
    </row>
    <row r="36" spans="1:6" x14ac:dyDescent="0.3">
      <c r="A36" s="2" t="s">
        <v>609</v>
      </c>
      <c r="B36" s="2" t="s">
        <v>569</v>
      </c>
      <c r="C36" s="2" t="s">
        <v>567</v>
      </c>
      <c r="D36" s="2" t="s">
        <v>570</v>
      </c>
      <c r="E36" s="11">
        <v>68785.696969697005</v>
      </c>
      <c r="F36" s="11">
        <v>90140.606060606398</v>
      </c>
    </row>
    <row r="37" spans="1:6" x14ac:dyDescent="0.3">
      <c r="A37" s="2" t="s">
        <v>610</v>
      </c>
      <c r="B37" s="2" t="s">
        <v>571</v>
      </c>
      <c r="C37" s="2" t="s">
        <v>572</v>
      </c>
      <c r="D37" s="2" t="s">
        <v>573</v>
      </c>
      <c r="E37" s="11">
        <v>71369.212121212098</v>
      </c>
      <c r="F37" s="11">
        <v>93567.575757575396</v>
      </c>
    </row>
    <row r="38" spans="1:6" x14ac:dyDescent="0.3">
      <c r="A38" s="2" t="s">
        <v>611</v>
      </c>
      <c r="B38" s="2" t="s">
        <v>574</v>
      </c>
      <c r="C38" s="2" t="s">
        <v>575</v>
      </c>
      <c r="D38" s="2" t="s">
        <v>576</v>
      </c>
      <c r="E38" s="11">
        <v>73952.727272727294</v>
      </c>
      <c r="F38" s="11">
        <v>96994.545454545398</v>
      </c>
    </row>
    <row r="39" spans="1:6" x14ac:dyDescent="0.3">
      <c r="A39" s="2" t="s">
        <v>612</v>
      </c>
      <c r="B39" s="2" t="s">
        <v>577</v>
      </c>
      <c r="C39" s="2" t="s">
        <v>575</v>
      </c>
      <c r="D39" s="2" t="s">
        <v>578</v>
      </c>
      <c r="E39" s="11">
        <v>76536.242424242402</v>
      </c>
      <c r="F39" s="11">
        <v>100421.51515151501</v>
      </c>
    </row>
    <row r="40" spans="1:6" x14ac:dyDescent="0.3">
      <c r="A40" s="2" t="s">
        <v>613</v>
      </c>
      <c r="B40" s="2" t="s">
        <v>579</v>
      </c>
      <c r="C40" s="2" t="s">
        <v>580</v>
      </c>
      <c r="D40" s="2" t="s">
        <v>581</v>
      </c>
      <c r="E40" s="11">
        <v>79119.757575757598</v>
      </c>
      <c r="F40" s="11">
        <v>103848.48484848499</v>
      </c>
    </row>
    <row r="41" spans="1:6" x14ac:dyDescent="0.3">
      <c r="A41" s="2" t="s">
        <v>614</v>
      </c>
      <c r="B41" s="2" t="s">
        <v>582</v>
      </c>
      <c r="C41" s="2" t="s">
        <v>583</v>
      </c>
      <c r="D41" s="2" t="s">
        <v>584</v>
      </c>
      <c r="E41" s="11">
        <v>81703.272727272793</v>
      </c>
      <c r="F41" s="11">
        <v>107275.45454545401</v>
      </c>
    </row>
    <row r="42" spans="1:6" x14ac:dyDescent="0.3">
      <c r="A42" s="2" t="s">
        <v>615</v>
      </c>
      <c r="B42" s="2" t="s">
        <v>559</v>
      </c>
      <c r="C42" s="2" t="s">
        <v>560</v>
      </c>
      <c r="D42" s="2" t="s">
        <v>561</v>
      </c>
      <c r="E42" s="11">
        <v>84286.7878787878</v>
      </c>
      <c r="F42" s="11">
        <v>110702.42424242399</v>
      </c>
    </row>
    <row r="43" spans="1:6" x14ac:dyDescent="0.3">
      <c r="A43" s="2" t="s">
        <v>616</v>
      </c>
      <c r="B43" s="2" t="s">
        <v>562</v>
      </c>
      <c r="C43" s="2" t="s">
        <v>560</v>
      </c>
      <c r="D43" s="2" t="s">
        <v>563</v>
      </c>
      <c r="E43" s="11">
        <v>86870.303030302806</v>
      </c>
      <c r="F43" s="11">
        <v>114129.39393939399</v>
      </c>
    </row>
    <row r="44" spans="1:6" x14ac:dyDescent="0.3">
      <c r="A44" s="2" t="s">
        <v>617</v>
      </c>
      <c r="B44" s="2" t="s">
        <v>564</v>
      </c>
      <c r="C44" s="2" t="s">
        <v>560</v>
      </c>
      <c r="D44" s="2" t="s">
        <v>565</v>
      </c>
      <c r="E44" s="11">
        <v>89453.818181817798</v>
      </c>
      <c r="F44" s="11">
        <v>117556.36363636301</v>
      </c>
    </row>
    <row r="45" spans="1:6" x14ac:dyDescent="0.3">
      <c r="A45" s="2" t="s">
        <v>618</v>
      </c>
      <c r="B45" s="2" t="s">
        <v>566</v>
      </c>
      <c r="C45" s="2" t="s">
        <v>567</v>
      </c>
      <c r="D45" s="2" t="s">
        <v>568</v>
      </c>
      <c r="E45" s="11">
        <v>92037.333333333794</v>
      </c>
      <c r="F45" s="11">
        <v>120983.33333333299</v>
      </c>
    </row>
    <row r="46" spans="1:6" x14ac:dyDescent="0.3">
      <c r="A46" s="2" t="s">
        <v>619</v>
      </c>
      <c r="B46" s="2" t="s">
        <v>569</v>
      </c>
      <c r="C46" s="2" t="s">
        <v>567</v>
      </c>
      <c r="D46" s="2" t="s">
        <v>570</v>
      </c>
      <c r="E46" s="11">
        <v>94620.848484848801</v>
      </c>
      <c r="F46" s="11">
        <v>124410.303030303</v>
      </c>
    </row>
    <row r="47" spans="1:6" x14ac:dyDescent="0.3">
      <c r="A47" s="2" t="s">
        <v>620</v>
      </c>
      <c r="B47" s="2" t="s">
        <v>571</v>
      </c>
      <c r="C47" s="2" t="s">
        <v>572</v>
      </c>
      <c r="D47" s="2" t="s">
        <v>573</v>
      </c>
      <c r="E47" s="11">
        <v>97204.363636363807</v>
      </c>
      <c r="F47" s="11">
        <v>127837.27272727199</v>
      </c>
    </row>
    <row r="48" spans="1:6" x14ac:dyDescent="0.3">
      <c r="A48" s="2" t="s">
        <v>621</v>
      </c>
      <c r="B48" s="2" t="s">
        <v>574</v>
      </c>
      <c r="C48" s="2" t="s">
        <v>575</v>
      </c>
      <c r="D48" s="2" t="s">
        <v>576</v>
      </c>
      <c r="E48" s="11">
        <v>99787.878787878799</v>
      </c>
      <c r="F48" s="11">
        <v>131264.24242424199</v>
      </c>
    </row>
    <row r="49" spans="1:6" x14ac:dyDescent="0.3">
      <c r="A49" s="2" t="s">
        <v>622</v>
      </c>
      <c r="B49" s="2" t="s">
        <v>577</v>
      </c>
      <c r="C49" s="2" t="s">
        <v>575</v>
      </c>
      <c r="D49" s="2" t="s">
        <v>578</v>
      </c>
      <c r="E49" s="11">
        <v>102371.39393939399</v>
      </c>
      <c r="F49" s="11">
        <v>134691.21212121201</v>
      </c>
    </row>
    <row r="50" spans="1:6" x14ac:dyDescent="0.3">
      <c r="A50" s="2" t="s">
        <v>623</v>
      </c>
      <c r="B50" s="2" t="s">
        <v>579</v>
      </c>
      <c r="C50" s="2" t="s">
        <v>580</v>
      </c>
      <c r="D50" s="2" t="s">
        <v>581</v>
      </c>
      <c r="E50" s="11">
        <v>104954.909090909</v>
      </c>
      <c r="F50" s="11">
        <v>138118.18181818101</v>
      </c>
    </row>
    <row r="51" spans="1:6" x14ac:dyDescent="0.3">
      <c r="A51" s="2" t="s">
        <v>624</v>
      </c>
      <c r="B51" s="2" t="s">
        <v>582</v>
      </c>
      <c r="C51" s="2" t="s">
        <v>583</v>
      </c>
      <c r="D51" s="2" t="s">
        <v>584</v>
      </c>
      <c r="E51" s="11">
        <v>107538.42424242399</v>
      </c>
      <c r="F51" s="11">
        <v>141545.151515151</v>
      </c>
    </row>
    <row r="52" spans="1:6" x14ac:dyDescent="0.3">
      <c r="A52" s="2" t="s">
        <v>625</v>
      </c>
      <c r="B52" s="2" t="s">
        <v>559</v>
      </c>
      <c r="C52" s="2" t="s">
        <v>560</v>
      </c>
      <c r="D52" s="2" t="s">
        <v>561</v>
      </c>
      <c r="E52" s="11">
        <v>110121.93939394</v>
      </c>
      <c r="F52" s="11">
        <v>144972.12121212101</v>
      </c>
    </row>
    <row r="53" spans="1:6" x14ac:dyDescent="0.3">
      <c r="A53" s="2" t="s">
        <v>626</v>
      </c>
      <c r="B53" s="2" t="s">
        <v>562</v>
      </c>
      <c r="C53" s="2" t="s">
        <v>560</v>
      </c>
      <c r="D53" s="2" t="s">
        <v>563</v>
      </c>
      <c r="E53" s="11">
        <v>112705.454545455</v>
      </c>
      <c r="F53" s="11">
        <v>148399.090909091</v>
      </c>
    </row>
    <row r="54" spans="1:6" x14ac:dyDescent="0.3">
      <c r="A54" s="2" t="s">
        <v>627</v>
      </c>
      <c r="B54" s="2" t="s">
        <v>564</v>
      </c>
      <c r="C54" s="2" t="s">
        <v>560</v>
      </c>
      <c r="D54" s="2" t="s">
        <v>565</v>
      </c>
      <c r="E54" s="11">
        <v>115288.96969697</v>
      </c>
      <c r="F54" s="11">
        <v>151826.06060606</v>
      </c>
    </row>
    <row r="55" spans="1:6" x14ac:dyDescent="0.3">
      <c r="A55" s="2" t="s">
        <v>628</v>
      </c>
      <c r="B55" s="2" t="s">
        <v>566</v>
      </c>
      <c r="C55" s="2" t="s">
        <v>567</v>
      </c>
      <c r="D55" s="2" t="s">
        <v>568</v>
      </c>
      <c r="E55" s="11">
        <v>117872.48484848499</v>
      </c>
      <c r="F55" s="11">
        <v>155253.03030303001</v>
      </c>
    </row>
    <row r="56" spans="1:6" x14ac:dyDescent="0.3">
      <c r="A56" s="2" t="s">
        <v>629</v>
      </c>
      <c r="B56" s="2" t="s">
        <v>569</v>
      </c>
      <c r="C56" s="2" t="s">
        <v>567</v>
      </c>
      <c r="D56" s="2" t="s">
        <v>570</v>
      </c>
      <c r="E56" s="11">
        <v>120456</v>
      </c>
      <c r="F56" s="11">
        <v>158680</v>
      </c>
    </row>
    <row r="57" spans="1:6" x14ac:dyDescent="0.3">
      <c r="A57" s="2" t="s">
        <v>630</v>
      </c>
      <c r="B57" s="2" t="s">
        <v>571</v>
      </c>
      <c r="C57" s="2" t="s">
        <v>572</v>
      </c>
      <c r="D57" s="2" t="s">
        <v>573</v>
      </c>
      <c r="E57" s="11">
        <v>123039.51515151501</v>
      </c>
      <c r="F57" s="11">
        <v>162106.969696969</v>
      </c>
    </row>
    <row r="58" spans="1:6" x14ac:dyDescent="0.3">
      <c r="A58" s="2" t="s">
        <v>631</v>
      </c>
      <c r="B58" s="2" t="s">
        <v>574</v>
      </c>
      <c r="C58" s="2" t="s">
        <v>575</v>
      </c>
      <c r="D58" s="2" t="s">
        <v>576</v>
      </c>
      <c r="E58" s="11">
        <v>125623.030303031</v>
      </c>
      <c r="F58" s="11">
        <v>165533.93939393901</v>
      </c>
    </row>
    <row r="59" spans="1:6" x14ac:dyDescent="0.3">
      <c r="A59" s="2" t="s">
        <v>632</v>
      </c>
      <c r="B59" s="2" t="s">
        <v>577</v>
      </c>
      <c r="C59" s="2" t="s">
        <v>575</v>
      </c>
      <c r="D59" s="2" t="s">
        <v>578</v>
      </c>
      <c r="E59" s="11">
        <v>128206.54545454599</v>
      </c>
      <c r="F59" s="11">
        <v>168960.909090909</v>
      </c>
    </row>
    <row r="60" spans="1:6" x14ac:dyDescent="0.3">
      <c r="A60" s="2" t="s">
        <v>633</v>
      </c>
      <c r="B60" s="2" t="s">
        <v>579</v>
      </c>
      <c r="C60" s="2" t="s">
        <v>580</v>
      </c>
      <c r="D60" s="2" t="s">
        <v>581</v>
      </c>
      <c r="E60" s="11">
        <v>130790.060606061</v>
      </c>
      <c r="F60" s="11">
        <v>172387.878787878</v>
      </c>
    </row>
    <row r="61" spans="1:6" x14ac:dyDescent="0.3">
      <c r="A61" s="2" t="s">
        <v>634</v>
      </c>
      <c r="B61" s="2" t="s">
        <v>582</v>
      </c>
      <c r="C61" s="2" t="s">
        <v>583</v>
      </c>
      <c r="D61" s="2" t="s">
        <v>584</v>
      </c>
      <c r="E61" s="11">
        <v>133373.57575757601</v>
      </c>
      <c r="F61" s="11">
        <v>175814.84848484799</v>
      </c>
    </row>
    <row r="62" spans="1:6" x14ac:dyDescent="0.3">
      <c r="A62" s="2" t="s">
        <v>635</v>
      </c>
      <c r="B62" s="2" t="s">
        <v>559</v>
      </c>
      <c r="C62" s="2" t="s">
        <v>560</v>
      </c>
      <c r="D62" s="2" t="s">
        <v>561</v>
      </c>
      <c r="E62" s="11">
        <v>135957.090909091</v>
      </c>
      <c r="F62" s="11">
        <v>179241.818181818</v>
      </c>
    </row>
    <row r="63" spans="1:6" x14ac:dyDescent="0.3">
      <c r="A63" s="2" t="s">
        <v>636</v>
      </c>
      <c r="B63" s="2" t="s">
        <v>562</v>
      </c>
      <c r="C63" s="2" t="s">
        <v>560</v>
      </c>
      <c r="D63" s="2" t="s">
        <v>563</v>
      </c>
      <c r="E63" s="11">
        <v>138540.60606060599</v>
      </c>
      <c r="F63" s="11">
        <v>182668.78787878799</v>
      </c>
    </row>
    <row r="64" spans="1:6" x14ac:dyDescent="0.3">
      <c r="A64" s="2" t="s">
        <v>637</v>
      </c>
      <c r="B64" s="2" t="s">
        <v>564</v>
      </c>
      <c r="C64" s="2" t="s">
        <v>560</v>
      </c>
      <c r="D64" s="2" t="s">
        <v>565</v>
      </c>
      <c r="E64" s="11">
        <v>141124.12121212101</v>
      </c>
      <c r="F64" s="11">
        <v>186095.75757575699</v>
      </c>
    </row>
    <row r="65" spans="1:6" x14ac:dyDescent="0.3">
      <c r="A65" s="2" t="s">
        <v>638</v>
      </c>
      <c r="B65" s="2" t="s">
        <v>566</v>
      </c>
      <c r="C65" s="2" t="s">
        <v>567</v>
      </c>
      <c r="D65" s="2" t="s">
        <v>568</v>
      </c>
      <c r="E65" s="11">
        <v>143707.63636363699</v>
      </c>
      <c r="F65" s="11">
        <v>189522.727272727</v>
      </c>
    </row>
    <row r="66" spans="1:6" x14ac:dyDescent="0.3">
      <c r="A66" s="2" t="s">
        <v>639</v>
      </c>
      <c r="B66" s="2" t="s">
        <v>569</v>
      </c>
      <c r="C66" s="2" t="s">
        <v>567</v>
      </c>
      <c r="D66" s="2" t="s">
        <v>570</v>
      </c>
      <c r="E66" s="11">
        <v>146291.15151515201</v>
      </c>
      <c r="F66" s="11">
        <v>192949.69696969699</v>
      </c>
    </row>
    <row r="67" spans="1:6" x14ac:dyDescent="0.3">
      <c r="A67" s="2" t="s">
        <v>640</v>
      </c>
      <c r="B67" s="2" t="s">
        <v>571</v>
      </c>
      <c r="C67" s="2" t="s">
        <v>572</v>
      </c>
      <c r="D67" s="2" t="s">
        <v>573</v>
      </c>
      <c r="E67" s="11">
        <v>148874.66666666701</v>
      </c>
      <c r="F67" s="11">
        <v>196376.66666666599</v>
      </c>
    </row>
    <row r="68" spans="1:6" x14ac:dyDescent="0.3">
      <c r="A68" s="2" t="s">
        <v>641</v>
      </c>
      <c r="B68" s="2" t="s">
        <v>574</v>
      </c>
      <c r="C68" s="2" t="s">
        <v>575</v>
      </c>
      <c r="D68" s="2" t="s">
        <v>576</v>
      </c>
      <c r="E68" s="11">
        <v>151458.181818182</v>
      </c>
      <c r="F68" s="11">
        <v>199803.636363636</v>
      </c>
    </row>
    <row r="69" spans="1:6" x14ac:dyDescent="0.3">
      <c r="A69" s="2" t="s">
        <v>642</v>
      </c>
      <c r="B69" s="2" t="s">
        <v>577</v>
      </c>
      <c r="C69" s="2" t="s">
        <v>575</v>
      </c>
      <c r="D69" s="2" t="s">
        <v>578</v>
      </c>
      <c r="E69" s="11">
        <v>154041.69696969699</v>
      </c>
      <c r="F69" s="11">
        <v>203230.60606060599</v>
      </c>
    </row>
    <row r="70" spans="1:6" x14ac:dyDescent="0.3">
      <c r="A70" s="2" t="s">
        <v>643</v>
      </c>
      <c r="B70" s="2" t="s">
        <v>579</v>
      </c>
      <c r="C70" s="2" t="s">
        <v>580</v>
      </c>
      <c r="D70" s="2" t="s">
        <v>581</v>
      </c>
      <c r="E70" s="11">
        <v>156625.21212121201</v>
      </c>
      <c r="F70" s="11">
        <v>206657.57575757499</v>
      </c>
    </row>
    <row r="71" spans="1:6" x14ac:dyDescent="0.3">
      <c r="A71" s="2" t="s">
        <v>644</v>
      </c>
      <c r="B71" s="2" t="s">
        <v>582</v>
      </c>
      <c r="C71" s="2" t="s">
        <v>583</v>
      </c>
      <c r="D71" s="2" t="s">
        <v>584</v>
      </c>
      <c r="E71" s="11">
        <v>159208.727272727</v>
      </c>
      <c r="F71" s="11">
        <v>210084.545454545</v>
      </c>
    </row>
    <row r="72" spans="1:6" x14ac:dyDescent="0.3">
      <c r="A72" s="2" t="s">
        <v>645</v>
      </c>
      <c r="B72" s="2" t="s">
        <v>559</v>
      </c>
      <c r="C72" s="2" t="s">
        <v>560</v>
      </c>
      <c r="D72" s="2" t="s">
        <v>561</v>
      </c>
      <c r="E72" s="11">
        <v>161792.24242424301</v>
      </c>
      <c r="F72" s="11">
        <v>213511.51515151499</v>
      </c>
    </row>
    <row r="73" spans="1:6" x14ac:dyDescent="0.3">
      <c r="A73" s="2" t="s">
        <v>646</v>
      </c>
      <c r="B73" s="2" t="s">
        <v>562</v>
      </c>
      <c r="C73" s="2" t="s">
        <v>560</v>
      </c>
      <c r="D73" s="2" t="s">
        <v>563</v>
      </c>
      <c r="E73" s="11">
        <v>164375.75757575801</v>
      </c>
      <c r="F73" s="11">
        <v>216938.48484848501</v>
      </c>
    </row>
    <row r="74" spans="1:6" x14ac:dyDescent="0.3">
      <c r="A74" s="2" t="s">
        <v>647</v>
      </c>
      <c r="B74" s="2" t="s">
        <v>564</v>
      </c>
      <c r="C74" s="2" t="s">
        <v>560</v>
      </c>
      <c r="D74" s="2" t="s">
        <v>565</v>
      </c>
      <c r="E74" s="11">
        <v>166959.272727273</v>
      </c>
      <c r="F74" s="11">
        <v>220365.45454545401</v>
      </c>
    </row>
    <row r="75" spans="1:6" x14ac:dyDescent="0.3">
      <c r="A75" s="2" t="s">
        <v>648</v>
      </c>
      <c r="B75" s="2" t="s">
        <v>566</v>
      </c>
      <c r="C75" s="2" t="s">
        <v>567</v>
      </c>
      <c r="D75" s="2" t="s">
        <v>568</v>
      </c>
      <c r="E75" s="11">
        <v>169542.78787878799</v>
      </c>
      <c r="F75" s="11">
        <v>223792.42424242399</v>
      </c>
    </row>
    <row r="76" spans="1:6" x14ac:dyDescent="0.3">
      <c r="A76" s="2" t="s">
        <v>649</v>
      </c>
      <c r="B76" s="2" t="s">
        <v>569</v>
      </c>
      <c r="C76" s="2" t="s">
        <v>567</v>
      </c>
      <c r="D76" s="2" t="s">
        <v>570</v>
      </c>
      <c r="E76" s="11">
        <v>172126.30303030301</v>
      </c>
      <c r="F76" s="11">
        <v>227219.39393939401</v>
      </c>
    </row>
    <row r="77" spans="1:6" x14ac:dyDescent="0.3">
      <c r="A77" s="2" t="s">
        <v>650</v>
      </c>
      <c r="B77" s="2" t="s">
        <v>571</v>
      </c>
      <c r="C77" s="2" t="s">
        <v>572</v>
      </c>
      <c r="D77" s="2" t="s">
        <v>573</v>
      </c>
      <c r="E77" s="11">
        <v>174709.818181818</v>
      </c>
      <c r="F77" s="11">
        <v>230646.36363636301</v>
      </c>
    </row>
    <row r="78" spans="1:6" x14ac:dyDescent="0.3">
      <c r="A78" s="2" t="s">
        <v>651</v>
      </c>
      <c r="B78" s="2" t="s">
        <v>574</v>
      </c>
      <c r="C78" s="2" t="s">
        <v>575</v>
      </c>
      <c r="D78" s="2" t="s">
        <v>576</v>
      </c>
      <c r="E78" s="11">
        <v>177293.33333333401</v>
      </c>
      <c r="F78" s="11">
        <v>234073.33333333299</v>
      </c>
    </row>
    <row r="79" spans="1:6" x14ac:dyDescent="0.3">
      <c r="A79" s="2" t="s">
        <v>652</v>
      </c>
      <c r="B79" s="2" t="s">
        <v>577</v>
      </c>
      <c r="C79" s="2" t="s">
        <v>575</v>
      </c>
      <c r="D79" s="2" t="s">
        <v>578</v>
      </c>
      <c r="E79" s="11">
        <v>179876.848484849</v>
      </c>
      <c r="F79" s="11">
        <v>237500.30303030301</v>
      </c>
    </row>
    <row r="80" spans="1:6" x14ac:dyDescent="0.3">
      <c r="A80" s="2" t="s">
        <v>653</v>
      </c>
      <c r="B80" s="2" t="s">
        <v>579</v>
      </c>
      <c r="C80" s="2" t="s">
        <v>580</v>
      </c>
      <c r="D80" s="2" t="s">
        <v>581</v>
      </c>
      <c r="E80" s="11">
        <v>182460.363636364</v>
      </c>
      <c r="F80" s="11">
        <v>240927.27272727201</v>
      </c>
    </row>
    <row r="81" spans="1:6" x14ac:dyDescent="0.3">
      <c r="A81" s="2" t="s">
        <v>654</v>
      </c>
      <c r="B81" s="2" t="s">
        <v>582</v>
      </c>
      <c r="C81" s="2" t="s">
        <v>583</v>
      </c>
      <c r="D81" s="2" t="s">
        <v>584</v>
      </c>
      <c r="E81" s="11">
        <v>185043.87878787899</v>
      </c>
      <c r="F81" s="11">
        <v>244354.24242424199</v>
      </c>
    </row>
    <row r="82" spans="1:6" x14ac:dyDescent="0.3">
      <c r="A82" s="2" t="s">
        <v>655</v>
      </c>
      <c r="B82" s="2" t="s">
        <v>559</v>
      </c>
      <c r="C82" s="2" t="s">
        <v>560</v>
      </c>
      <c r="D82" s="2" t="s">
        <v>561</v>
      </c>
      <c r="E82" s="11">
        <v>187627.39393939401</v>
      </c>
      <c r="F82" s="11">
        <v>247781.21212121201</v>
      </c>
    </row>
    <row r="83" spans="1:6" x14ac:dyDescent="0.3">
      <c r="A83" s="2" t="s">
        <v>656</v>
      </c>
      <c r="B83" s="2" t="s">
        <v>562</v>
      </c>
      <c r="C83" s="2" t="s">
        <v>560</v>
      </c>
      <c r="D83" s="2" t="s">
        <v>563</v>
      </c>
      <c r="E83" s="11">
        <v>190210.909090909</v>
      </c>
      <c r="F83" s="11">
        <v>251208.18181818101</v>
      </c>
    </row>
    <row r="84" spans="1:6" x14ac:dyDescent="0.3">
      <c r="A84" s="2" t="s">
        <v>657</v>
      </c>
      <c r="B84" s="2" t="s">
        <v>564</v>
      </c>
      <c r="C84" s="2" t="s">
        <v>560</v>
      </c>
      <c r="D84" s="2" t="s">
        <v>565</v>
      </c>
      <c r="E84" s="11">
        <v>192794.42424242399</v>
      </c>
      <c r="F84" s="11">
        <v>254635.151515151</v>
      </c>
    </row>
    <row r="85" spans="1:6" x14ac:dyDescent="0.3">
      <c r="A85" s="2" t="s">
        <v>658</v>
      </c>
      <c r="B85" s="2" t="s">
        <v>566</v>
      </c>
      <c r="C85" s="2" t="s">
        <v>567</v>
      </c>
      <c r="D85" s="2" t="s">
        <v>568</v>
      </c>
      <c r="E85" s="11">
        <v>195377.93939394</v>
      </c>
      <c r="F85" s="11">
        <v>258062.12121212101</v>
      </c>
    </row>
    <row r="86" spans="1:6" x14ac:dyDescent="0.3">
      <c r="A86" s="2" t="s">
        <v>659</v>
      </c>
      <c r="B86" s="2" t="s">
        <v>569</v>
      </c>
      <c r="C86" s="2" t="s">
        <v>567</v>
      </c>
      <c r="D86" s="2" t="s">
        <v>570</v>
      </c>
      <c r="E86" s="11">
        <v>197961.454545455</v>
      </c>
      <c r="F86" s="11">
        <v>261489.090909091</v>
      </c>
    </row>
    <row r="87" spans="1:6" x14ac:dyDescent="0.3">
      <c r="A87" s="2" t="s">
        <v>660</v>
      </c>
      <c r="B87" s="2" t="s">
        <v>571</v>
      </c>
      <c r="C87" s="2" t="s">
        <v>572</v>
      </c>
      <c r="D87" s="2" t="s">
        <v>573</v>
      </c>
      <c r="E87" s="11">
        <v>200544.96969696999</v>
      </c>
      <c r="F87" s="11">
        <v>264916.06060606003</v>
      </c>
    </row>
    <row r="88" spans="1:6" x14ac:dyDescent="0.3">
      <c r="A88" s="2" t="s">
        <v>661</v>
      </c>
      <c r="B88" s="2" t="s">
        <v>574</v>
      </c>
      <c r="C88" s="2" t="s">
        <v>575</v>
      </c>
      <c r="D88" s="2" t="s">
        <v>576</v>
      </c>
      <c r="E88" s="11">
        <v>203128.48484848501</v>
      </c>
      <c r="F88" s="11">
        <v>268343.03030302998</v>
      </c>
    </row>
    <row r="89" spans="1:6" x14ac:dyDescent="0.3">
      <c r="A89" s="2" t="s">
        <v>662</v>
      </c>
      <c r="B89" s="2" t="s">
        <v>577</v>
      </c>
      <c r="C89" s="2" t="s">
        <v>575</v>
      </c>
      <c r="D89" s="2" t="s">
        <v>578</v>
      </c>
      <c r="E89" s="11">
        <v>205712</v>
      </c>
      <c r="F89" s="11">
        <v>271770</v>
      </c>
    </row>
    <row r="90" spans="1:6" x14ac:dyDescent="0.3">
      <c r="A90" s="2" t="s">
        <v>663</v>
      </c>
      <c r="B90" s="2" t="s">
        <v>579</v>
      </c>
      <c r="C90" s="2" t="s">
        <v>580</v>
      </c>
      <c r="D90" s="2" t="s">
        <v>581</v>
      </c>
      <c r="E90" s="11">
        <v>208295.51515151499</v>
      </c>
      <c r="F90" s="11">
        <v>275196.96969696903</v>
      </c>
    </row>
    <row r="91" spans="1:6" x14ac:dyDescent="0.3">
      <c r="A91" s="2" t="s">
        <v>664</v>
      </c>
      <c r="B91" s="2" t="s">
        <v>582</v>
      </c>
      <c r="C91" s="2" t="s">
        <v>583</v>
      </c>
      <c r="D91" s="2" t="s">
        <v>584</v>
      </c>
      <c r="E91" s="11">
        <v>210879.030303031</v>
      </c>
      <c r="F91" s="11">
        <v>278623.93939393898</v>
      </c>
    </row>
    <row r="92" spans="1:6" x14ac:dyDescent="0.3">
      <c r="A92" s="2" t="s">
        <v>665</v>
      </c>
      <c r="B92" s="2" t="s">
        <v>559</v>
      </c>
      <c r="C92" s="2" t="s">
        <v>560</v>
      </c>
      <c r="D92" s="2" t="s">
        <v>561</v>
      </c>
      <c r="E92" s="11">
        <v>213462.54545454599</v>
      </c>
      <c r="F92" s="11">
        <v>282050.909090909</v>
      </c>
    </row>
    <row r="93" spans="1:6" x14ac:dyDescent="0.3">
      <c r="A93" s="2" t="s">
        <v>666</v>
      </c>
      <c r="B93" s="2" t="s">
        <v>562</v>
      </c>
      <c r="C93" s="2" t="s">
        <v>560</v>
      </c>
      <c r="D93" s="2" t="s">
        <v>563</v>
      </c>
      <c r="E93" s="11">
        <v>216046.06060606099</v>
      </c>
      <c r="F93" s="11">
        <v>285477.87878787803</v>
      </c>
    </row>
    <row r="94" spans="1:6" x14ac:dyDescent="0.3">
      <c r="A94" s="2" t="s">
        <v>667</v>
      </c>
      <c r="B94" s="2" t="s">
        <v>564</v>
      </c>
      <c r="C94" s="2" t="s">
        <v>560</v>
      </c>
      <c r="D94" s="2" t="s">
        <v>565</v>
      </c>
      <c r="E94" s="11">
        <v>218629.57575757601</v>
      </c>
      <c r="F94" s="11">
        <v>288904.84848484799</v>
      </c>
    </row>
    <row r="95" spans="1:6" x14ac:dyDescent="0.3">
      <c r="A95" s="2" t="s">
        <v>668</v>
      </c>
      <c r="B95" s="2" t="s">
        <v>566</v>
      </c>
      <c r="C95" s="2" t="s">
        <v>567</v>
      </c>
      <c r="D95" s="2" t="s">
        <v>568</v>
      </c>
      <c r="E95" s="11">
        <v>221213.090909091</v>
      </c>
      <c r="F95" s="11">
        <v>292331.818181818</v>
      </c>
    </row>
    <row r="96" spans="1:6" x14ac:dyDescent="0.3">
      <c r="A96" s="2" t="s">
        <v>669</v>
      </c>
      <c r="B96" s="2" t="s">
        <v>569</v>
      </c>
      <c r="C96" s="2" t="s">
        <v>567</v>
      </c>
      <c r="D96" s="2" t="s">
        <v>570</v>
      </c>
      <c r="E96" s="11">
        <v>223796.60606060599</v>
      </c>
      <c r="F96" s="11">
        <v>295758.78787878802</v>
      </c>
    </row>
    <row r="97" spans="1:6" x14ac:dyDescent="0.3">
      <c r="A97" s="2" t="s">
        <v>670</v>
      </c>
      <c r="B97" s="2" t="s">
        <v>571</v>
      </c>
      <c r="C97" s="2" t="s">
        <v>572</v>
      </c>
      <c r="D97" s="2" t="s">
        <v>573</v>
      </c>
      <c r="E97" s="11">
        <v>226380.12121212101</v>
      </c>
      <c r="F97" s="11">
        <v>299185.75757575699</v>
      </c>
    </row>
    <row r="98" spans="1:6" x14ac:dyDescent="0.3">
      <c r="A98" s="2" t="s">
        <v>671</v>
      </c>
      <c r="B98" s="2" t="s">
        <v>574</v>
      </c>
      <c r="C98" s="2" t="s">
        <v>575</v>
      </c>
      <c r="D98" s="2" t="s">
        <v>576</v>
      </c>
      <c r="E98" s="11">
        <v>228963.63636363699</v>
      </c>
      <c r="F98" s="11">
        <v>302612.727272727</v>
      </c>
    </row>
    <row r="99" spans="1:6" x14ac:dyDescent="0.3">
      <c r="A99" s="2" t="s">
        <v>672</v>
      </c>
      <c r="B99" s="2" t="s">
        <v>577</v>
      </c>
      <c r="C99" s="2" t="s">
        <v>575</v>
      </c>
      <c r="D99" s="2" t="s">
        <v>578</v>
      </c>
      <c r="E99" s="11">
        <v>231547.15151515201</v>
      </c>
      <c r="F99" s="11">
        <v>306039.69696969702</v>
      </c>
    </row>
    <row r="100" spans="1:6" x14ac:dyDescent="0.3">
      <c r="A100" s="2" t="s">
        <v>673</v>
      </c>
      <c r="B100" s="2" t="s">
        <v>579</v>
      </c>
      <c r="C100" s="2" t="s">
        <v>580</v>
      </c>
      <c r="D100" s="2" t="s">
        <v>581</v>
      </c>
      <c r="E100" s="11">
        <v>234130.66666666701</v>
      </c>
      <c r="F100" s="11">
        <v>309466.66666666599</v>
      </c>
    </row>
    <row r="101" spans="1:6" x14ac:dyDescent="0.3">
      <c r="A101" s="2" t="s">
        <v>674</v>
      </c>
      <c r="B101" s="2" t="s">
        <v>582</v>
      </c>
      <c r="C101" s="2" t="s">
        <v>583</v>
      </c>
      <c r="D101" s="2" t="s">
        <v>584</v>
      </c>
      <c r="E101" s="11">
        <v>236714.181818182</v>
      </c>
      <c r="F101" s="11">
        <v>312893.636363636</v>
      </c>
    </row>
    <row r="102" spans="1:6" x14ac:dyDescent="0.3">
      <c r="A102" s="2" t="s">
        <v>675</v>
      </c>
      <c r="B102" s="2" t="s">
        <v>559</v>
      </c>
      <c r="C102" s="2" t="s">
        <v>560</v>
      </c>
      <c r="D102" s="2" t="s">
        <v>561</v>
      </c>
      <c r="E102" s="11">
        <v>239297.69696969699</v>
      </c>
      <c r="F102" s="11">
        <v>316320.60606060602</v>
      </c>
    </row>
    <row r="103" spans="1:6" x14ac:dyDescent="0.3">
      <c r="A103" s="2" t="s">
        <v>676</v>
      </c>
      <c r="B103" s="2" t="s">
        <v>562</v>
      </c>
      <c r="C103" s="2" t="s">
        <v>560</v>
      </c>
      <c r="D103" s="2" t="s">
        <v>563</v>
      </c>
      <c r="E103" s="11">
        <v>241881.21212121201</v>
      </c>
      <c r="F103" s="11">
        <v>319747.57575757499</v>
      </c>
    </row>
    <row r="104" spans="1:6" x14ac:dyDescent="0.3">
      <c r="A104" s="2" t="s">
        <v>677</v>
      </c>
      <c r="B104" s="2" t="s">
        <v>564</v>
      </c>
      <c r="C104" s="2" t="s">
        <v>560</v>
      </c>
      <c r="D104" s="2" t="s">
        <v>565</v>
      </c>
      <c r="E104" s="11">
        <v>244464.72727272799</v>
      </c>
      <c r="F104" s="11">
        <v>323174.545454545</v>
      </c>
    </row>
    <row r="105" spans="1:6" x14ac:dyDescent="0.3">
      <c r="A105" s="2" t="s">
        <v>678</v>
      </c>
      <c r="B105" s="2" t="s">
        <v>566</v>
      </c>
      <c r="C105" s="2" t="s">
        <v>567</v>
      </c>
      <c r="D105" s="2" t="s">
        <v>568</v>
      </c>
      <c r="E105" s="11">
        <v>247048.24242424301</v>
      </c>
      <c r="F105" s="11">
        <v>326601.51515151502</v>
      </c>
    </row>
    <row r="106" spans="1:6" x14ac:dyDescent="0.3">
      <c r="A106" s="2" t="s">
        <v>679</v>
      </c>
      <c r="B106" s="2" t="s">
        <v>569</v>
      </c>
      <c r="C106" s="2" t="s">
        <v>567</v>
      </c>
      <c r="D106" s="2" t="s">
        <v>570</v>
      </c>
      <c r="E106" s="11">
        <v>249631.75757575801</v>
      </c>
      <c r="F106" s="11">
        <v>330028.48484848498</v>
      </c>
    </row>
    <row r="107" spans="1:6" x14ac:dyDescent="0.3">
      <c r="A107" s="2" t="s">
        <v>680</v>
      </c>
      <c r="B107" s="2" t="s">
        <v>571</v>
      </c>
      <c r="C107" s="2" t="s">
        <v>572</v>
      </c>
      <c r="D107" s="2" t="s">
        <v>573</v>
      </c>
      <c r="E107" s="11">
        <v>252215.272727273</v>
      </c>
      <c r="F107" s="11">
        <v>333455.45454545401</v>
      </c>
    </row>
    <row r="108" spans="1:6" x14ac:dyDescent="0.3">
      <c r="A108" s="2" t="s">
        <v>681</v>
      </c>
      <c r="B108" s="2" t="s">
        <v>574</v>
      </c>
      <c r="C108" s="2" t="s">
        <v>575</v>
      </c>
      <c r="D108" s="2" t="s">
        <v>576</v>
      </c>
      <c r="E108" s="11">
        <v>254798.78787878799</v>
      </c>
      <c r="F108" s="11">
        <v>336882.42424242402</v>
      </c>
    </row>
    <row r="109" spans="1:6" x14ac:dyDescent="0.3">
      <c r="A109" s="2" t="s">
        <v>682</v>
      </c>
      <c r="B109" s="2" t="s">
        <v>577</v>
      </c>
      <c r="C109" s="2" t="s">
        <v>575</v>
      </c>
      <c r="D109" s="2" t="s">
        <v>578</v>
      </c>
      <c r="E109" s="11">
        <v>257382.30303030301</v>
      </c>
      <c r="F109" s="11">
        <v>340309.39393939398</v>
      </c>
    </row>
    <row r="110" spans="1:6" x14ac:dyDescent="0.3">
      <c r="A110" s="2" t="s">
        <v>683</v>
      </c>
      <c r="B110" s="2" t="s">
        <v>579</v>
      </c>
      <c r="C110" s="2" t="s">
        <v>580</v>
      </c>
      <c r="D110" s="2" t="s">
        <v>581</v>
      </c>
      <c r="E110" s="11">
        <v>259965.818181818</v>
      </c>
      <c r="F110" s="11">
        <v>343736.36363636301</v>
      </c>
    </row>
    <row r="111" spans="1:6" x14ac:dyDescent="0.3">
      <c r="A111" s="2" t="s">
        <v>684</v>
      </c>
      <c r="B111" s="2" t="s">
        <v>582</v>
      </c>
      <c r="C111" s="2" t="s">
        <v>583</v>
      </c>
      <c r="D111" s="2" t="s">
        <v>584</v>
      </c>
      <c r="E111" s="11">
        <v>262549.33333333401</v>
      </c>
      <c r="F111" s="11">
        <v>347163.33333333302</v>
      </c>
    </row>
    <row r="112" spans="1:6" x14ac:dyDescent="0.3">
      <c r="A112" s="2" t="s">
        <v>685</v>
      </c>
      <c r="B112" s="2" t="s">
        <v>559</v>
      </c>
      <c r="C112" s="2" t="s">
        <v>560</v>
      </c>
      <c r="D112" s="2" t="s">
        <v>561</v>
      </c>
      <c r="E112" s="11">
        <v>265132.84848484898</v>
      </c>
      <c r="F112" s="11">
        <v>350590.30303030298</v>
      </c>
    </row>
    <row r="113" spans="1:6" x14ac:dyDescent="0.3">
      <c r="A113" s="2" t="s">
        <v>686</v>
      </c>
      <c r="B113" s="2" t="s">
        <v>562</v>
      </c>
      <c r="C113" s="2" t="s">
        <v>560</v>
      </c>
      <c r="D113" s="2" t="s">
        <v>563</v>
      </c>
      <c r="E113" s="11">
        <v>267716.363636364</v>
      </c>
      <c r="F113" s="11">
        <v>354017.27272727201</v>
      </c>
    </row>
    <row r="114" spans="1:6" x14ac:dyDescent="0.3">
      <c r="A114" s="2" t="s">
        <v>687</v>
      </c>
      <c r="B114" s="2" t="s">
        <v>564</v>
      </c>
      <c r="C114" s="2" t="s">
        <v>560</v>
      </c>
      <c r="D114" s="2" t="s">
        <v>565</v>
      </c>
      <c r="E114" s="11">
        <v>270299.87878787902</v>
      </c>
      <c r="F114" s="11">
        <v>357444.24242424202</v>
      </c>
    </row>
    <row r="115" spans="1:6" x14ac:dyDescent="0.3">
      <c r="A115" s="2" t="s">
        <v>688</v>
      </c>
      <c r="B115" s="2" t="s">
        <v>566</v>
      </c>
      <c r="C115" s="2" t="s">
        <v>567</v>
      </c>
      <c r="D115" s="2" t="s">
        <v>568</v>
      </c>
      <c r="E115" s="11">
        <v>272883.39393939398</v>
      </c>
      <c r="F115" s="11">
        <v>360871.21212121198</v>
      </c>
    </row>
    <row r="116" spans="1:6" x14ac:dyDescent="0.3">
      <c r="A116" s="2" t="s">
        <v>689</v>
      </c>
      <c r="B116" s="2" t="s">
        <v>569</v>
      </c>
      <c r="C116" s="2" t="s">
        <v>567</v>
      </c>
      <c r="D116" s="2" t="s">
        <v>570</v>
      </c>
      <c r="E116" s="11">
        <v>275466.909090909</v>
      </c>
      <c r="F116" s="11">
        <v>364298.181818182</v>
      </c>
    </row>
    <row r="117" spans="1:6" x14ac:dyDescent="0.3">
      <c r="A117" s="2" t="s">
        <v>690</v>
      </c>
      <c r="B117" s="2" t="s">
        <v>571</v>
      </c>
      <c r="C117" s="2" t="s">
        <v>572</v>
      </c>
      <c r="D117" s="2" t="s">
        <v>573</v>
      </c>
      <c r="E117" s="11">
        <v>278050.42424242402</v>
      </c>
      <c r="F117" s="11">
        <v>367725.15151515102</v>
      </c>
    </row>
    <row r="118" spans="1:6" x14ac:dyDescent="0.3">
      <c r="A118" s="2" t="s">
        <v>691</v>
      </c>
      <c r="B118" s="2" t="s">
        <v>574</v>
      </c>
      <c r="C118" s="2" t="s">
        <v>575</v>
      </c>
      <c r="D118" s="2" t="s">
        <v>576</v>
      </c>
      <c r="E118" s="11">
        <v>280633.93939393997</v>
      </c>
      <c r="F118" s="11">
        <v>371152.12121212098</v>
      </c>
    </row>
    <row r="119" spans="1:6" x14ac:dyDescent="0.3">
      <c r="A119" s="2" t="s">
        <v>692</v>
      </c>
      <c r="B119" s="2" t="s">
        <v>577</v>
      </c>
      <c r="C119" s="2" t="s">
        <v>575</v>
      </c>
      <c r="D119" s="2" t="s">
        <v>578</v>
      </c>
      <c r="E119" s="11">
        <v>283217.454545455</v>
      </c>
      <c r="F119" s="11">
        <v>374579.090909091</v>
      </c>
    </row>
    <row r="120" spans="1:6" x14ac:dyDescent="0.3">
      <c r="A120" s="2" t="s">
        <v>693</v>
      </c>
      <c r="B120" s="2" t="s">
        <v>579</v>
      </c>
      <c r="C120" s="2" t="s">
        <v>580</v>
      </c>
      <c r="D120" s="2" t="s">
        <v>581</v>
      </c>
      <c r="E120" s="11">
        <v>285800.96969697002</v>
      </c>
      <c r="F120" s="11">
        <v>378006.06060606003</v>
      </c>
    </row>
    <row r="121" spans="1:6" x14ac:dyDescent="0.3">
      <c r="A121" s="2" t="s">
        <v>694</v>
      </c>
      <c r="B121" s="2" t="s">
        <v>582</v>
      </c>
      <c r="C121" s="2" t="s">
        <v>583</v>
      </c>
      <c r="D121" s="2" t="s">
        <v>584</v>
      </c>
      <c r="E121" s="11">
        <v>288384.48484848498</v>
      </c>
      <c r="F121" s="11">
        <v>381433.03030302998</v>
      </c>
    </row>
    <row r="122" spans="1:6" x14ac:dyDescent="0.3">
      <c r="A122" s="2" t="s">
        <v>695</v>
      </c>
      <c r="B122" s="2" t="s">
        <v>559</v>
      </c>
      <c r="C122" s="2" t="s">
        <v>560</v>
      </c>
      <c r="D122" s="2" t="s">
        <v>561</v>
      </c>
      <c r="E122" s="11">
        <v>290968</v>
      </c>
      <c r="F122" s="11">
        <v>384860</v>
      </c>
    </row>
    <row r="123" spans="1:6" x14ac:dyDescent="0.3">
      <c r="A123" s="2" t="s">
        <v>696</v>
      </c>
      <c r="B123" s="2" t="s">
        <v>562</v>
      </c>
      <c r="C123" s="2" t="s">
        <v>560</v>
      </c>
      <c r="D123" s="2" t="s">
        <v>563</v>
      </c>
      <c r="E123" s="11">
        <v>293551.51515151502</v>
      </c>
      <c r="F123" s="11">
        <v>388286.96969696903</v>
      </c>
    </row>
    <row r="124" spans="1:6" x14ac:dyDescent="0.3">
      <c r="A124" s="2" t="s">
        <v>697</v>
      </c>
      <c r="B124" s="2" t="s">
        <v>564</v>
      </c>
      <c r="C124" s="2" t="s">
        <v>560</v>
      </c>
      <c r="D124" s="2" t="s">
        <v>565</v>
      </c>
      <c r="E124" s="11">
        <v>296135.03030303097</v>
      </c>
      <c r="F124" s="11">
        <v>391713.93939393898</v>
      </c>
    </row>
    <row r="125" spans="1:6" x14ac:dyDescent="0.3">
      <c r="A125" s="2" t="s">
        <v>698</v>
      </c>
      <c r="B125" s="2" t="s">
        <v>566</v>
      </c>
      <c r="C125" s="2" t="s">
        <v>567</v>
      </c>
      <c r="D125" s="2" t="s">
        <v>568</v>
      </c>
      <c r="E125" s="11">
        <v>298718.54545454599</v>
      </c>
      <c r="F125" s="11">
        <v>395140.909090909</v>
      </c>
    </row>
    <row r="126" spans="1:6" x14ac:dyDescent="0.3">
      <c r="A126" s="2" t="s">
        <v>699</v>
      </c>
      <c r="B126" s="2" t="s">
        <v>569</v>
      </c>
      <c r="C126" s="2" t="s">
        <v>567</v>
      </c>
      <c r="D126" s="2" t="s">
        <v>570</v>
      </c>
      <c r="E126" s="11">
        <v>301302.06060606102</v>
      </c>
      <c r="F126" s="11">
        <v>398567.87878787803</v>
      </c>
    </row>
    <row r="127" spans="1:6" x14ac:dyDescent="0.3">
      <c r="A127" s="2" t="s">
        <v>700</v>
      </c>
      <c r="B127" s="2" t="s">
        <v>571</v>
      </c>
      <c r="C127" s="2" t="s">
        <v>572</v>
      </c>
      <c r="D127" s="2" t="s">
        <v>573</v>
      </c>
      <c r="E127" s="11">
        <v>303885.57575757598</v>
      </c>
      <c r="F127" s="11">
        <v>401994.84848484799</v>
      </c>
    </row>
    <row r="128" spans="1:6" x14ac:dyDescent="0.3">
      <c r="A128" s="2" t="s">
        <v>701</v>
      </c>
      <c r="B128" s="2" t="s">
        <v>574</v>
      </c>
      <c r="C128" s="2" t="s">
        <v>575</v>
      </c>
      <c r="D128" s="2" t="s">
        <v>576</v>
      </c>
      <c r="E128" s="11">
        <v>306469.090909091</v>
      </c>
      <c r="F128" s="11">
        <v>405421.818181818</v>
      </c>
    </row>
    <row r="129" spans="1:6" x14ac:dyDescent="0.3">
      <c r="A129" s="2" t="s">
        <v>702</v>
      </c>
      <c r="B129" s="2" t="s">
        <v>577</v>
      </c>
      <c r="C129" s="2" t="s">
        <v>575</v>
      </c>
      <c r="D129" s="2" t="s">
        <v>578</v>
      </c>
      <c r="E129" s="11">
        <v>309052.60606060602</v>
      </c>
      <c r="F129" s="11">
        <v>408848.78787878802</v>
      </c>
    </row>
    <row r="130" spans="1:6" x14ac:dyDescent="0.3">
      <c r="A130" s="2" t="s">
        <v>703</v>
      </c>
      <c r="B130" s="2" t="s">
        <v>579</v>
      </c>
      <c r="C130" s="2" t="s">
        <v>580</v>
      </c>
      <c r="D130" s="2" t="s">
        <v>581</v>
      </c>
      <c r="E130" s="11">
        <v>311636.12121212098</v>
      </c>
      <c r="F130" s="11">
        <v>412275.75757575699</v>
      </c>
    </row>
    <row r="131" spans="1:6" x14ac:dyDescent="0.3">
      <c r="A131" s="2" t="s">
        <v>704</v>
      </c>
      <c r="B131" s="2" t="s">
        <v>582</v>
      </c>
      <c r="C131" s="2" t="s">
        <v>583</v>
      </c>
      <c r="D131" s="2" t="s">
        <v>584</v>
      </c>
      <c r="E131" s="11">
        <v>314219.63636363699</v>
      </c>
      <c r="F131" s="11">
        <v>415702.727272727</v>
      </c>
    </row>
    <row r="132" spans="1:6" x14ac:dyDescent="0.3">
      <c r="A132" s="2" t="s">
        <v>705</v>
      </c>
      <c r="B132" s="2" t="s">
        <v>559</v>
      </c>
      <c r="C132" s="2" t="s">
        <v>560</v>
      </c>
      <c r="D132" s="2" t="s">
        <v>561</v>
      </c>
      <c r="E132" s="11">
        <v>316803.15151515201</v>
      </c>
      <c r="F132" s="11">
        <v>419129.69696969702</v>
      </c>
    </row>
    <row r="133" spans="1:6" x14ac:dyDescent="0.3">
      <c r="A133" s="2" t="s">
        <v>706</v>
      </c>
      <c r="B133" s="2" t="s">
        <v>562</v>
      </c>
      <c r="C133" s="2" t="s">
        <v>560</v>
      </c>
      <c r="D133" s="2" t="s">
        <v>563</v>
      </c>
      <c r="E133" s="11">
        <v>319386.66666666698</v>
      </c>
      <c r="F133" s="11">
        <v>422556.66666666599</v>
      </c>
    </row>
    <row r="134" spans="1:6" x14ac:dyDescent="0.3">
      <c r="A134" s="2" t="s">
        <v>707</v>
      </c>
      <c r="B134" s="2" t="s">
        <v>564</v>
      </c>
      <c r="C134" s="2" t="s">
        <v>560</v>
      </c>
      <c r="D134" s="2" t="s">
        <v>565</v>
      </c>
      <c r="E134" s="11">
        <v>321970.181818182</v>
      </c>
      <c r="F134" s="11">
        <v>425983.636363636</v>
      </c>
    </row>
    <row r="135" spans="1:6" x14ac:dyDescent="0.3">
      <c r="A135" s="2" t="s">
        <v>708</v>
      </c>
      <c r="B135" s="2" t="s">
        <v>566</v>
      </c>
      <c r="C135" s="2" t="s">
        <v>567</v>
      </c>
      <c r="D135" s="2" t="s">
        <v>568</v>
      </c>
      <c r="E135" s="11">
        <v>324553.69696969702</v>
      </c>
      <c r="F135" s="11">
        <v>429410.60606060602</v>
      </c>
    </row>
    <row r="136" spans="1:6" x14ac:dyDescent="0.3">
      <c r="A136" s="2" t="s">
        <v>709</v>
      </c>
      <c r="B136" s="2" t="s">
        <v>569</v>
      </c>
      <c r="C136" s="2" t="s">
        <v>567</v>
      </c>
      <c r="D136" s="2" t="s">
        <v>570</v>
      </c>
      <c r="E136" s="11">
        <v>327137.21212121198</v>
      </c>
      <c r="F136" s="11">
        <v>432837.57575757499</v>
      </c>
    </row>
    <row r="137" spans="1:6" x14ac:dyDescent="0.3">
      <c r="A137" s="2" t="s">
        <v>710</v>
      </c>
      <c r="B137" s="2" t="s">
        <v>571</v>
      </c>
      <c r="C137" s="2" t="s">
        <v>572</v>
      </c>
      <c r="D137" s="2" t="s">
        <v>573</v>
      </c>
      <c r="E137" s="11">
        <v>329720.72727272799</v>
      </c>
      <c r="F137" s="11">
        <v>436264.545454545</v>
      </c>
    </row>
    <row r="138" spans="1:6" x14ac:dyDescent="0.3">
      <c r="A138" s="2" t="s">
        <v>711</v>
      </c>
      <c r="B138" s="2" t="s">
        <v>574</v>
      </c>
      <c r="C138" s="2" t="s">
        <v>575</v>
      </c>
      <c r="D138" s="2" t="s">
        <v>576</v>
      </c>
      <c r="E138" s="11">
        <v>332304.24242424301</v>
      </c>
      <c r="F138" s="11">
        <v>439691.51515151502</v>
      </c>
    </row>
    <row r="139" spans="1:6" x14ac:dyDescent="0.3">
      <c r="A139" s="2" t="s">
        <v>712</v>
      </c>
      <c r="B139" s="2" t="s">
        <v>577</v>
      </c>
      <c r="C139" s="2" t="s">
        <v>575</v>
      </c>
      <c r="D139" s="2" t="s">
        <v>578</v>
      </c>
      <c r="E139" s="11">
        <v>334887.75757575798</v>
      </c>
      <c r="F139" s="11">
        <v>443118.48484848498</v>
      </c>
    </row>
    <row r="140" spans="1:6" x14ac:dyDescent="0.3">
      <c r="A140" s="2" t="s">
        <v>713</v>
      </c>
      <c r="B140" s="2" t="s">
        <v>579</v>
      </c>
      <c r="C140" s="2" t="s">
        <v>580</v>
      </c>
      <c r="D140" s="2" t="s">
        <v>581</v>
      </c>
      <c r="E140" s="11">
        <v>337471.272727273</v>
      </c>
      <c r="F140" s="11">
        <v>446545.45454545401</v>
      </c>
    </row>
    <row r="141" spans="1:6" x14ac:dyDescent="0.3">
      <c r="A141" s="2" t="s">
        <v>714</v>
      </c>
      <c r="B141" s="2" t="s">
        <v>582</v>
      </c>
      <c r="C141" s="2" t="s">
        <v>583</v>
      </c>
      <c r="D141" s="2" t="s">
        <v>584</v>
      </c>
      <c r="E141" s="11">
        <v>340054.78787878802</v>
      </c>
      <c r="F141" s="11">
        <v>449972.42424242402</v>
      </c>
    </row>
    <row r="142" spans="1:6" x14ac:dyDescent="0.3">
      <c r="A142" s="2" t="s">
        <v>715</v>
      </c>
      <c r="B142" s="2" t="s">
        <v>559</v>
      </c>
      <c r="C142" s="2" t="s">
        <v>560</v>
      </c>
      <c r="D142" s="2" t="s">
        <v>561</v>
      </c>
      <c r="E142" s="11">
        <v>342638.30303030298</v>
      </c>
      <c r="F142" s="11">
        <v>453399.39393939398</v>
      </c>
    </row>
    <row r="143" spans="1:6" x14ac:dyDescent="0.3">
      <c r="A143" s="2" t="s">
        <v>716</v>
      </c>
      <c r="B143" s="2" t="s">
        <v>562</v>
      </c>
      <c r="C143" s="2" t="s">
        <v>560</v>
      </c>
      <c r="D143" s="2" t="s">
        <v>563</v>
      </c>
      <c r="E143" s="11">
        <v>345221.818181818</v>
      </c>
      <c r="F143" s="11">
        <v>456826.36363636301</v>
      </c>
    </row>
    <row r="144" spans="1:6" x14ac:dyDescent="0.3">
      <c r="A144" s="2" t="s">
        <v>717</v>
      </c>
      <c r="B144" s="2" t="s">
        <v>564</v>
      </c>
      <c r="C144" s="2" t="s">
        <v>560</v>
      </c>
      <c r="D144" s="2" t="s">
        <v>565</v>
      </c>
      <c r="E144" s="11">
        <v>347805.33333333401</v>
      </c>
      <c r="F144" s="11">
        <v>460253.33333333302</v>
      </c>
    </row>
    <row r="145" spans="1:6" x14ac:dyDescent="0.3">
      <c r="A145" s="2" t="s">
        <v>718</v>
      </c>
      <c r="B145" s="2" t="s">
        <v>566</v>
      </c>
      <c r="C145" s="2" t="s">
        <v>567</v>
      </c>
      <c r="D145" s="2" t="s">
        <v>568</v>
      </c>
      <c r="E145" s="11">
        <v>350388.84848484898</v>
      </c>
      <c r="F145" s="11">
        <v>463680.30303030298</v>
      </c>
    </row>
    <row r="146" spans="1:6" x14ac:dyDescent="0.3">
      <c r="A146" s="2" t="s">
        <v>719</v>
      </c>
      <c r="B146" s="2" t="s">
        <v>569</v>
      </c>
      <c r="C146" s="2" t="s">
        <v>567</v>
      </c>
      <c r="D146" s="2" t="s">
        <v>570</v>
      </c>
      <c r="E146" s="11">
        <v>352972.363636364</v>
      </c>
      <c r="F146" s="11">
        <v>467107.27272727201</v>
      </c>
    </row>
    <row r="147" spans="1:6" x14ac:dyDescent="0.3">
      <c r="A147" s="2" t="s">
        <v>720</v>
      </c>
      <c r="B147" s="2" t="s">
        <v>571</v>
      </c>
      <c r="C147" s="2" t="s">
        <v>572</v>
      </c>
      <c r="D147" s="2" t="s">
        <v>573</v>
      </c>
      <c r="E147" s="11">
        <v>355555.87878787902</v>
      </c>
      <c r="F147" s="11">
        <v>470534.24242424202</v>
      </c>
    </row>
    <row r="148" spans="1:6" x14ac:dyDescent="0.3">
      <c r="A148" s="2" t="s">
        <v>721</v>
      </c>
      <c r="B148" s="2" t="s">
        <v>574</v>
      </c>
      <c r="C148" s="2" t="s">
        <v>575</v>
      </c>
      <c r="D148" s="2" t="s">
        <v>576</v>
      </c>
      <c r="E148" s="11">
        <v>358139.39393939398</v>
      </c>
      <c r="F148" s="11">
        <v>473961.21212121198</v>
      </c>
    </row>
    <row r="149" spans="1:6" x14ac:dyDescent="0.3">
      <c r="A149" s="2" t="s">
        <v>722</v>
      </c>
      <c r="B149" s="2" t="s">
        <v>577</v>
      </c>
      <c r="C149" s="2" t="s">
        <v>575</v>
      </c>
      <c r="D149" s="2" t="s">
        <v>578</v>
      </c>
      <c r="E149" s="11">
        <v>360722.909090909</v>
      </c>
      <c r="F149" s="11">
        <v>477388.181818182</v>
      </c>
    </row>
    <row r="150" spans="1:6" x14ac:dyDescent="0.3">
      <c r="A150" s="2" t="s">
        <v>723</v>
      </c>
      <c r="B150" s="2" t="s">
        <v>579</v>
      </c>
      <c r="C150" s="2" t="s">
        <v>580</v>
      </c>
      <c r="D150" s="2" t="s">
        <v>581</v>
      </c>
      <c r="E150" s="11">
        <v>363306.42424242402</v>
      </c>
      <c r="F150" s="11">
        <v>480815.15151515102</v>
      </c>
    </row>
    <row r="151" spans="1:6" x14ac:dyDescent="0.3">
      <c r="A151" s="2" t="s">
        <v>724</v>
      </c>
      <c r="B151" s="2" t="s">
        <v>582</v>
      </c>
      <c r="C151" s="2" t="s">
        <v>583</v>
      </c>
      <c r="D151" s="2" t="s">
        <v>584</v>
      </c>
      <c r="E151" s="11">
        <v>365889.93939393997</v>
      </c>
      <c r="F151" s="11">
        <v>484242.12121212098</v>
      </c>
    </row>
    <row r="152" spans="1:6" x14ac:dyDescent="0.3">
      <c r="A152" s="2" t="s">
        <v>725</v>
      </c>
      <c r="B152" s="2" t="s">
        <v>559</v>
      </c>
      <c r="C152" s="2" t="s">
        <v>560</v>
      </c>
      <c r="D152" s="2" t="s">
        <v>561</v>
      </c>
      <c r="E152" s="11">
        <v>368473.454545455</v>
      </c>
      <c r="F152" s="11">
        <v>487669.090909091</v>
      </c>
    </row>
    <row r="153" spans="1:6" x14ac:dyDescent="0.3">
      <c r="A153" s="2" t="s">
        <v>726</v>
      </c>
      <c r="B153" s="2" t="s">
        <v>562</v>
      </c>
      <c r="C153" s="2" t="s">
        <v>560</v>
      </c>
      <c r="D153" s="2" t="s">
        <v>563</v>
      </c>
      <c r="E153" s="11">
        <v>371056.96969697002</v>
      </c>
      <c r="F153" s="11">
        <v>491096.06060606003</v>
      </c>
    </row>
    <row r="154" spans="1:6" x14ac:dyDescent="0.3">
      <c r="A154" s="2" t="s">
        <v>727</v>
      </c>
      <c r="B154" s="2" t="s">
        <v>564</v>
      </c>
      <c r="C154" s="2" t="s">
        <v>560</v>
      </c>
      <c r="D154" s="2" t="s">
        <v>565</v>
      </c>
      <c r="E154" s="11">
        <v>373640.48484848498</v>
      </c>
      <c r="F154" s="11">
        <v>494523.03030302998</v>
      </c>
    </row>
    <row r="155" spans="1:6" x14ac:dyDescent="0.3">
      <c r="A155" s="2" t="s">
        <v>728</v>
      </c>
      <c r="B155" s="2" t="s">
        <v>566</v>
      </c>
      <c r="C155" s="2" t="s">
        <v>567</v>
      </c>
      <c r="D155" s="2" t="s">
        <v>568</v>
      </c>
      <c r="E155" s="11">
        <v>376224</v>
      </c>
      <c r="F155" s="11">
        <v>497950</v>
      </c>
    </row>
    <row r="156" spans="1:6" x14ac:dyDescent="0.3">
      <c r="A156" s="2" t="s">
        <v>729</v>
      </c>
      <c r="B156" s="2" t="s">
        <v>569</v>
      </c>
      <c r="C156" s="2" t="s">
        <v>567</v>
      </c>
      <c r="D156" s="2" t="s">
        <v>570</v>
      </c>
      <c r="E156" s="11">
        <v>378807.51515151502</v>
      </c>
      <c r="F156" s="11">
        <v>501376.96969696903</v>
      </c>
    </row>
    <row r="157" spans="1:6" x14ac:dyDescent="0.3">
      <c r="A157" s="2" t="s">
        <v>730</v>
      </c>
      <c r="B157" s="2" t="s">
        <v>571</v>
      </c>
      <c r="C157" s="2" t="s">
        <v>572</v>
      </c>
      <c r="D157" s="2" t="s">
        <v>573</v>
      </c>
      <c r="E157" s="11">
        <v>381391.03030303097</v>
      </c>
      <c r="F157" s="11">
        <v>504803.93939393898</v>
      </c>
    </row>
    <row r="158" spans="1:6" x14ac:dyDescent="0.3">
      <c r="A158" s="2" t="s">
        <v>731</v>
      </c>
      <c r="B158" s="2" t="s">
        <v>574</v>
      </c>
      <c r="C158" s="2" t="s">
        <v>575</v>
      </c>
      <c r="D158" s="2" t="s">
        <v>576</v>
      </c>
      <c r="E158" s="11">
        <v>383974.54545454599</v>
      </c>
      <c r="F158" s="11">
        <v>508230.909090909</v>
      </c>
    </row>
    <row r="159" spans="1:6" x14ac:dyDescent="0.3">
      <c r="A159" s="2" t="s">
        <v>732</v>
      </c>
      <c r="B159" s="2" t="s">
        <v>577</v>
      </c>
      <c r="C159" s="2" t="s">
        <v>575</v>
      </c>
      <c r="D159" s="2" t="s">
        <v>578</v>
      </c>
      <c r="E159" s="11">
        <v>386558.06060606102</v>
      </c>
      <c r="F159" s="11">
        <v>511657.87878787902</v>
      </c>
    </row>
    <row r="160" spans="1:6" x14ac:dyDescent="0.3">
      <c r="A160" s="2" t="s">
        <v>733</v>
      </c>
      <c r="B160" s="2" t="s">
        <v>579</v>
      </c>
      <c r="C160" s="2" t="s">
        <v>580</v>
      </c>
      <c r="D160" s="2" t="s">
        <v>581</v>
      </c>
      <c r="E160" s="11">
        <v>389141.57575757598</v>
      </c>
      <c r="F160" s="11">
        <v>515084.84848484799</v>
      </c>
    </row>
    <row r="161" spans="1:6" x14ac:dyDescent="0.3">
      <c r="A161" s="2" t="s">
        <v>734</v>
      </c>
      <c r="B161" s="2" t="s">
        <v>582</v>
      </c>
      <c r="C161" s="2" t="s">
        <v>583</v>
      </c>
      <c r="D161" s="2" t="s">
        <v>584</v>
      </c>
      <c r="E161" s="11">
        <v>391725.090909091</v>
      </c>
      <c r="F161" s="11">
        <v>518511.818181818</v>
      </c>
    </row>
    <row r="162" spans="1:6" x14ac:dyDescent="0.3">
      <c r="A162" s="2" t="s">
        <v>735</v>
      </c>
      <c r="B162" s="2" t="s">
        <v>559</v>
      </c>
      <c r="C162" s="2" t="s">
        <v>560</v>
      </c>
      <c r="D162" s="2" t="s">
        <v>561</v>
      </c>
      <c r="E162" s="11">
        <v>394308.60606060602</v>
      </c>
      <c r="F162" s="11">
        <v>521938.78787878802</v>
      </c>
    </row>
    <row r="163" spans="1:6" x14ac:dyDescent="0.3">
      <c r="A163" s="2" t="s">
        <v>736</v>
      </c>
      <c r="B163" s="2" t="s">
        <v>562</v>
      </c>
      <c r="C163" s="2" t="s">
        <v>560</v>
      </c>
      <c r="D163" s="2" t="s">
        <v>563</v>
      </c>
      <c r="E163" s="11">
        <v>396892.12121212098</v>
      </c>
      <c r="F163" s="11">
        <v>525365.75757575699</v>
      </c>
    </row>
    <row r="164" spans="1:6" x14ac:dyDescent="0.3">
      <c r="A164" s="2" t="s">
        <v>737</v>
      </c>
      <c r="B164" s="2" t="s">
        <v>564</v>
      </c>
      <c r="C164" s="2" t="s">
        <v>560</v>
      </c>
      <c r="D164" s="2" t="s">
        <v>565</v>
      </c>
      <c r="E164" s="11">
        <v>399475.63636363699</v>
      </c>
      <c r="F164" s="11">
        <v>528792.72727272694</v>
      </c>
    </row>
    <row r="165" spans="1:6" x14ac:dyDescent="0.3">
      <c r="A165" s="2" t="s">
        <v>738</v>
      </c>
      <c r="B165" s="2" t="s">
        <v>566</v>
      </c>
      <c r="C165" s="2" t="s">
        <v>567</v>
      </c>
      <c r="D165" s="2" t="s">
        <v>568</v>
      </c>
      <c r="E165" s="11">
        <v>402059.15151515201</v>
      </c>
      <c r="F165" s="11">
        <v>532219.69696969702</v>
      </c>
    </row>
    <row r="166" spans="1:6" x14ac:dyDescent="0.3">
      <c r="A166" s="2" t="s">
        <v>739</v>
      </c>
      <c r="B166" s="2" t="s">
        <v>569</v>
      </c>
      <c r="C166" s="2" t="s">
        <v>567</v>
      </c>
      <c r="D166" s="2" t="s">
        <v>570</v>
      </c>
      <c r="E166" s="11">
        <v>404642.66666666698</v>
      </c>
      <c r="F166" s="11">
        <v>535646.66666666605</v>
      </c>
    </row>
    <row r="167" spans="1:6" x14ac:dyDescent="0.3">
      <c r="A167" s="2" t="s">
        <v>740</v>
      </c>
      <c r="B167" s="2" t="s">
        <v>571</v>
      </c>
      <c r="C167" s="2" t="s">
        <v>572</v>
      </c>
      <c r="D167" s="2" t="s">
        <v>573</v>
      </c>
      <c r="E167" s="11">
        <v>407226.181818182</v>
      </c>
      <c r="F167" s="11">
        <v>539073.636363636</v>
      </c>
    </row>
    <row r="168" spans="1:6" x14ac:dyDescent="0.3">
      <c r="A168" s="2" t="s">
        <v>741</v>
      </c>
      <c r="B168" s="2" t="s">
        <v>574</v>
      </c>
      <c r="C168" s="2" t="s">
        <v>575</v>
      </c>
      <c r="D168" s="2" t="s">
        <v>576</v>
      </c>
      <c r="E168" s="11">
        <v>409809.69696969702</v>
      </c>
      <c r="F168" s="11">
        <v>542500.60606060596</v>
      </c>
    </row>
    <row r="169" spans="1:6" x14ac:dyDescent="0.3">
      <c r="A169" s="2" t="s">
        <v>742</v>
      </c>
      <c r="B169" s="2" t="s">
        <v>577</v>
      </c>
      <c r="C169" s="2" t="s">
        <v>575</v>
      </c>
      <c r="D169" s="2" t="s">
        <v>578</v>
      </c>
      <c r="E169" s="11">
        <v>412393.21212121198</v>
      </c>
      <c r="F169" s="11">
        <v>545927.57575757499</v>
      </c>
    </row>
    <row r="170" spans="1:6" x14ac:dyDescent="0.3">
      <c r="A170" s="2" t="s">
        <v>743</v>
      </c>
      <c r="B170" s="2" t="s">
        <v>579</v>
      </c>
      <c r="C170" s="2" t="s">
        <v>580</v>
      </c>
      <c r="D170" s="2" t="s">
        <v>581</v>
      </c>
      <c r="E170" s="11">
        <v>414976.72727272799</v>
      </c>
      <c r="F170" s="11">
        <v>549354.54545454495</v>
      </c>
    </row>
    <row r="171" spans="1:6" x14ac:dyDescent="0.3">
      <c r="A171" s="2" t="s">
        <v>744</v>
      </c>
      <c r="B171" s="2" t="s">
        <v>582</v>
      </c>
      <c r="C171" s="2" t="s">
        <v>583</v>
      </c>
      <c r="D171" s="2" t="s">
        <v>584</v>
      </c>
      <c r="E171" s="11">
        <v>417560.24242424301</v>
      </c>
      <c r="F171" s="11">
        <v>552781.51515151502</v>
      </c>
    </row>
    <row r="172" spans="1:6" x14ac:dyDescent="0.3">
      <c r="A172" s="2" t="s">
        <v>745</v>
      </c>
      <c r="B172" s="2" t="s">
        <v>559</v>
      </c>
      <c r="C172" s="2" t="s">
        <v>560</v>
      </c>
      <c r="D172" s="2" t="s">
        <v>561</v>
      </c>
      <c r="E172" s="11">
        <v>420143.75757575798</v>
      </c>
      <c r="F172" s="11">
        <v>556208.48484848498</v>
      </c>
    </row>
    <row r="173" spans="1:6" x14ac:dyDescent="0.3">
      <c r="A173" s="2" t="s">
        <v>746</v>
      </c>
      <c r="B173" s="2" t="s">
        <v>562</v>
      </c>
      <c r="C173" s="2" t="s">
        <v>560</v>
      </c>
      <c r="D173" s="2" t="s">
        <v>563</v>
      </c>
      <c r="E173" s="11">
        <v>422727.272727273</v>
      </c>
      <c r="F173" s="11">
        <v>559635.45454545401</v>
      </c>
    </row>
    <row r="174" spans="1:6" x14ac:dyDescent="0.3">
      <c r="A174" s="2" t="s">
        <v>747</v>
      </c>
      <c r="B174" s="2" t="s">
        <v>564</v>
      </c>
      <c r="C174" s="2" t="s">
        <v>560</v>
      </c>
      <c r="D174" s="2" t="s">
        <v>565</v>
      </c>
      <c r="E174" s="11">
        <v>425310.78787878802</v>
      </c>
      <c r="F174" s="11">
        <v>563062.42424242396</v>
      </c>
    </row>
    <row r="175" spans="1:6" x14ac:dyDescent="0.3">
      <c r="A175" s="2" t="s">
        <v>748</v>
      </c>
      <c r="B175" s="2" t="s">
        <v>566</v>
      </c>
      <c r="C175" s="2" t="s">
        <v>567</v>
      </c>
      <c r="D175" s="2" t="s">
        <v>568</v>
      </c>
      <c r="E175" s="11">
        <v>427894.30303030298</v>
      </c>
      <c r="F175" s="11">
        <v>566489.39393939404</v>
      </c>
    </row>
    <row r="176" spans="1:6" x14ac:dyDescent="0.3">
      <c r="A176" s="2" t="s">
        <v>749</v>
      </c>
      <c r="B176" s="2" t="s">
        <v>569</v>
      </c>
      <c r="C176" s="2" t="s">
        <v>567</v>
      </c>
      <c r="D176" s="2" t="s">
        <v>570</v>
      </c>
      <c r="E176" s="11">
        <v>430477.818181818</v>
      </c>
      <c r="F176" s="11">
        <v>569916.36363636295</v>
      </c>
    </row>
    <row r="177" spans="1:6" x14ac:dyDescent="0.3">
      <c r="A177" s="2" t="s">
        <v>750</v>
      </c>
      <c r="B177" s="2" t="s">
        <v>571</v>
      </c>
      <c r="C177" s="2" t="s">
        <v>572</v>
      </c>
      <c r="D177" s="2" t="s">
        <v>573</v>
      </c>
      <c r="E177" s="11">
        <v>433061.33333333401</v>
      </c>
      <c r="F177" s="11">
        <v>573343.33333333302</v>
      </c>
    </row>
    <row r="178" spans="1:6" x14ac:dyDescent="0.3">
      <c r="A178" s="2" t="s">
        <v>751</v>
      </c>
      <c r="B178" s="2" t="s">
        <v>574</v>
      </c>
      <c r="C178" s="2" t="s">
        <v>575</v>
      </c>
      <c r="D178" s="2" t="s">
        <v>576</v>
      </c>
      <c r="E178" s="11">
        <v>435644.84848484898</v>
      </c>
      <c r="F178" s="11">
        <v>576770.30303030298</v>
      </c>
    </row>
    <row r="179" spans="1:6" x14ac:dyDescent="0.3">
      <c r="A179" s="2" t="s">
        <v>752</v>
      </c>
      <c r="B179" s="2" t="s">
        <v>577</v>
      </c>
      <c r="C179" s="2" t="s">
        <v>575</v>
      </c>
      <c r="D179" s="2" t="s">
        <v>578</v>
      </c>
      <c r="E179" s="11">
        <v>438228.363636364</v>
      </c>
      <c r="F179" s="11">
        <v>580197.27272727201</v>
      </c>
    </row>
    <row r="180" spans="1:6" x14ac:dyDescent="0.3">
      <c r="A180" s="2" t="s">
        <v>753</v>
      </c>
      <c r="B180" s="2" t="s">
        <v>579</v>
      </c>
      <c r="C180" s="2" t="s">
        <v>580</v>
      </c>
      <c r="D180" s="2" t="s">
        <v>581</v>
      </c>
      <c r="E180" s="11">
        <v>440811.87878787902</v>
      </c>
      <c r="F180" s="11">
        <v>583624.24242424197</v>
      </c>
    </row>
    <row r="181" spans="1:6" x14ac:dyDescent="0.3">
      <c r="A181" s="2" t="s">
        <v>754</v>
      </c>
      <c r="B181" s="2" t="s">
        <v>582</v>
      </c>
      <c r="C181" s="2" t="s">
        <v>583</v>
      </c>
      <c r="D181" s="2" t="s">
        <v>584</v>
      </c>
      <c r="E181" s="11">
        <v>443395.39393939398</v>
      </c>
      <c r="F181" s="11">
        <v>587051.21212121204</v>
      </c>
    </row>
    <row r="182" spans="1:6" x14ac:dyDescent="0.3">
      <c r="A182" s="2" t="s">
        <v>755</v>
      </c>
      <c r="B182" s="2" t="s">
        <v>559</v>
      </c>
      <c r="C182" s="2" t="s">
        <v>560</v>
      </c>
      <c r="D182" s="2" t="s">
        <v>561</v>
      </c>
      <c r="E182" s="11">
        <v>445978.909090909</v>
      </c>
      <c r="F182" s="11">
        <v>590478.181818182</v>
      </c>
    </row>
    <row r="183" spans="1:6" x14ac:dyDescent="0.3">
      <c r="A183" s="2" t="s">
        <v>756</v>
      </c>
      <c r="B183" s="2" t="s">
        <v>562</v>
      </c>
      <c r="C183" s="2" t="s">
        <v>560</v>
      </c>
      <c r="D183" s="2" t="s">
        <v>563</v>
      </c>
      <c r="E183" s="11">
        <v>448562.42424242402</v>
      </c>
      <c r="F183" s="11">
        <v>593905.15151515102</v>
      </c>
    </row>
    <row r="184" spans="1:6" x14ac:dyDescent="0.3">
      <c r="A184" s="2" t="s">
        <v>757</v>
      </c>
      <c r="B184" s="2" t="s">
        <v>564</v>
      </c>
      <c r="C184" s="2" t="s">
        <v>560</v>
      </c>
      <c r="D184" s="2" t="s">
        <v>565</v>
      </c>
      <c r="E184" s="11">
        <v>451145.93939393997</v>
      </c>
      <c r="F184" s="11">
        <v>597332.12121212098</v>
      </c>
    </row>
    <row r="185" spans="1:6" x14ac:dyDescent="0.3">
      <c r="A185" s="2" t="s">
        <v>758</v>
      </c>
      <c r="B185" s="2" t="s">
        <v>566</v>
      </c>
      <c r="C185" s="2" t="s">
        <v>567</v>
      </c>
      <c r="D185" s="2" t="s">
        <v>568</v>
      </c>
      <c r="E185" s="11">
        <v>453729.454545455</v>
      </c>
      <c r="F185" s="11">
        <v>600759.09090909106</v>
      </c>
    </row>
    <row r="186" spans="1:6" x14ac:dyDescent="0.3">
      <c r="A186" s="2" t="s">
        <v>759</v>
      </c>
      <c r="B186" s="2" t="s">
        <v>569</v>
      </c>
      <c r="C186" s="2" t="s">
        <v>567</v>
      </c>
      <c r="D186" s="2" t="s">
        <v>570</v>
      </c>
      <c r="E186" s="11">
        <v>456312.96969697002</v>
      </c>
      <c r="F186" s="11">
        <v>604186.06060605997</v>
      </c>
    </row>
    <row r="187" spans="1:6" x14ac:dyDescent="0.3">
      <c r="A187" s="2" t="s">
        <v>760</v>
      </c>
      <c r="B187" s="2" t="s">
        <v>571</v>
      </c>
      <c r="C187" s="2" t="s">
        <v>572</v>
      </c>
      <c r="D187" s="2" t="s">
        <v>573</v>
      </c>
      <c r="E187" s="11">
        <v>458896.48484848498</v>
      </c>
      <c r="F187" s="11">
        <v>607613.03030303004</v>
      </c>
    </row>
    <row r="188" spans="1:6" x14ac:dyDescent="0.3">
      <c r="A188" s="2" t="s">
        <v>761</v>
      </c>
      <c r="B188" s="2" t="s">
        <v>574</v>
      </c>
      <c r="C188" s="2" t="s">
        <v>575</v>
      </c>
      <c r="D188" s="2" t="s">
        <v>576</v>
      </c>
      <c r="E188" s="11">
        <v>461480</v>
      </c>
      <c r="F188" s="11">
        <v>611040</v>
      </c>
    </row>
    <row r="189" spans="1:6" x14ac:dyDescent="0.3">
      <c r="A189" s="2" t="s">
        <v>762</v>
      </c>
      <c r="B189" s="2" t="s">
        <v>577</v>
      </c>
      <c r="C189" s="2" t="s">
        <v>575</v>
      </c>
      <c r="D189" s="2" t="s">
        <v>578</v>
      </c>
      <c r="E189" s="11">
        <v>464063.51515151502</v>
      </c>
      <c r="F189" s="11">
        <v>614466.96969696903</v>
      </c>
    </row>
    <row r="190" spans="1:6" x14ac:dyDescent="0.3">
      <c r="A190" s="2" t="s">
        <v>763</v>
      </c>
      <c r="B190" s="2" t="s">
        <v>579</v>
      </c>
      <c r="C190" s="2" t="s">
        <v>580</v>
      </c>
      <c r="D190" s="2" t="s">
        <v>581</v>
      </c>
      <c r="E190" s="11">
        <v>466647.03030303097</v>
      </c>
      <c r="F190" s="11">
        <v>617893.93939393898</v>
      </c>
    </row>
    <row r="191" spans="1:6" x14ac:dyDescent="0.3">
      <c r="A191" s="2" t="s">
        <v>764</v>
      </c>
      <c r="B191" s="2" t="s">
        <v>582</v>
      </c>
      <c r="C191" s="2" t="s">
        <v>583</v>
      </c>
      <c r="D191" s="2" t="s">
        <v>584</v>
      </c>
      <c r="E191" s="11">
        <v>469230.54545454599</v>
      </c>
      <c r="F191" s="11">
        <v>621320.90909090894</v>
      </c>
    </row>
    <row r="192" spans="1:6" x14ac:dyDescent="0.3">
      <c r="A192" s="2" t="s">
        <v>765</v>
      </c>
      <c r="B192" s="2" t="s">
        <v>559</v>
      </c>
      <c r="C192" s="2" t="s">
        <v>560</v>
      </c>
      <c r="D192" s="2" t="s">
        <v>561</v>
      </c>
      <c r="E192" s="11">
        <v>471814.06060606102</v>
      </c>
      <c r="F192" s="11">
        <v>624747.87878787902</v>
      </c>
    </row>
    <row r="193" spans="1:6" x14ac:dyDescent="0.3">
      <c r="A193" s="2" t="s">
        <v>766</v>
      </c>
      <c r="B193" s="2" t="s">
        <v>562</v>
      </c>
      <c r="C193" s="2" t="s">
        <v>560</v>
      </c>
      <c r="D193" s="2" t="s">
        <v>563</v>
      </c>
      <c r="E193" s="11">
        <v>474397.57575757598</v>
      </c>
      <c r="F193" s="11">
        <v>628174.84848484804</v>
      </c>
    </row>
    <row r="194" spans="1:6" x14ac:dyDescent="0.3">
      <c r="A194" s="2" t="s">
        <v>767</v>
      </c>
      <c r="B194" s="2" t="s">
        <v>564</v>
      </c>
      <c r="C194" s="2" t="s">
        <v>560</v>
      </c>
      <c r="D194" s="2" t="s">
        <v>565</v>
      </c>
      <c r="E194" s="11">
        <v>476981.090909091</v>
      </c>
      <c r="F194" s="11">
        <v>631601.818181818</v>
      </c>
    </row>
    <row r="195" spans="1:6" x14ac:dyDescent="0.3">
      <c r="A195" s="2" t="s">
        <v>768</v>
      </c>
      <c r="B195" s="2" t="s">
        <v>566</v>
      </c>
      <c r="C195" s="2" t="s">
        <v>567</v>
      </c>
      <c r="D195" s="2" t="s">
        <v>568</v>
      </c>
      <c r="E195" s="11">
        <v>479564.60606060602</v>
      </c>
      <c r="F195" s="11">
        <v>635028.78787878796</v>
      </c>
    </row>
    <row r="196" spans="1:6" x14ac:dyDescent="0.3">
      <c r="A196" s="2" t="s">
        <v>769</v>
      </c>
      <c r="B196" s="2" t="s">
        <v>569</v>
      </c>
      <c r="C196" s="2" t="s">
        <v>567</v>
      </c>
      <c r="D196" s="2" t="s">
        <v>570</v>
      </c>
      <c r="E196" s="11">
        <v>482148.12121212098</v>
      </c>
      <c r="F196" s="11">
        <v>638455.75757575699</v>
      </c>
    </row>
    <row r="197" spans="1:6" x14ac:dyDescent="0.3">
      <c r="A197" s="2" t="s">
        <v>770</v>
      </c>
      <c r="B197" s="2" t="s">
        <v>571</v>
      </c>
      <c r="C197" s="2" t="s">
        <v>572</v>
      </c>
      <c r="D197" s="2" t="s">
        <v>573</v>
      </c>
      <c r="E197" s="11">
        <v>484731.63636363699</v>
      </c>
      <c r="F197" s="11">
        <v>641882.72727272694</v>
      </c>
    </row>
    <row r="198" spans="1:6" x14ac:dyDescent="0.3">
      <c r="A198" s="2" t="s">
        <v>771</v>
      </c>
      <c r="B198" s="2" t="s">
        <v>574</v>
      </c>
      <c r="C198" s="2" t="s">
        <v>575</v>
      </c>
      <c r="D198" s="2" t="s">
        <v>576</v>
      </c>
      <c r="E198" s="11">
        <v>487315.15151515201</v>
      </c>
      <c r="F198" s="11">
        <v>645309.69696969702</v>
      </c>
    </row>
    <row r="199" spans="1:6" x14ac:dyDescent="0.3">
      <c r="A199" s="2" t="s">
        <v>772</v>
      </c>
      <c r="B199" s="2" t="s">
        <v>577</v>
      </c>
      <c r="C199" s="2" t="s">
        <v>575</v>
      </c>
      <c r="D199" s="2" t="s">
        <v>578</v>
      </c>
      <c r="E199" s="11">
        <v>489898.66666666698</v>
      </c>
      <c r="F199" s="11">
        <v>648736.66666666605</v>
      </c>
    </row>
    <row r="200" spans="1:6" x14ac:dyDescent="0.3">
      <c r="A200" s="2" t="s">
        <v>773</v>
      </c>
      <c r="B200" s="2" t="s">
        <v>579</v>
      </c>
      <c r="C200" s="2" t="s">
        <v>580</v>
      </c>
      <c r="D200" s="2" t="s">
        <v>581</v>
      </c>
      <c r="E200" s="11">
        <v>492482.181818182</v>
      </c>
      <c r="F200" s="11">
        <v>652163.636363636</v>
      </c>
    </row>
    <row r="201" spans="1:6" x14ac:dyDescent="0.3">
      <c r="A201" s="2" t="s">
        <v>774</v>
      </c>
      <c r="B201" s="2" t="s">
        <v>582</v>
      </c>
      <c r="C201" s="2" t="s">
        <v>583</v>
      </c>
      <c r="D201" s="2" t="s">
        <v>584</v>
      </c>
      <c r="E201" s="11">
        <v>495065.69696969702</v>
      </c>
      <c r="F201" s="11">
        <v>655590.60606060596</v>
      </c>
    </row>
    <row r="202" spans="1:6" x14ac:dyDescent="0.3">
      <c r="A202" s="2" t="s">
        <v>775</v>
      </c>
      <c r="B202" s="2" t="s">
        <v>559</v>
      </c>
      <c r="C202" s="2" t="s">
        <v>560</v>
      </c>
      <c r="D202" s="2" t="s">
        <v>561</v>
      </c>
      <c r="E202" s="11">
        <v>497649.21212121198</v>
      </c>
      <c r="F202" s="11">
        <v>659017.57575757499</v>
      </c>
    </row>
    <row r="203" spans="1:6" x14ac:dyDescent="0.3">
      <c r="A203" s="2" t="s">
        <v>776</v>
      </c>
      <c r="B203" s="2" t="s">
        <v>562</v>
      </c>
      <c r="C203" s="2" t="s">
        <v>560</v>
      </c>
      <c r="D203" s="2" t="s">
        <v>563</v>
      </c>
      <c r="E203" s="11">
        <v>500232.72727272799</v>
      </c>
      <c r="F203" s="11">
        <v>662444.54545454495</v>
      </c>
    </row>
    <row r="204" spans="1:6" x14ac:dyDescent="0.3">
      <c r="A204" s="2" t="s">
        <v>777</v>
      </c>
      <c r="B204" s="2" t="s">
        <v>564</v>
      </c>
      <c r="C204" s="2" t="s">
        <v>560</v>
      </c>
      <c r="D204" s="2" t="s">
        <v>565</v>
      </c>
      <c r="E204" s="11">
        <v>502816.24242424301</v>
      </c>
      <c r="F204" s="11">
        <v>665871.51515151502</v>
      </c>
    </row>
    <row r="205" spans="1:6" x14ac:dyDescent="0.3">
      <c r="A205" s="2" t="s">
        <v>778</v>
      </c>
      <c r="B205" s="2" t="s">
        <v>566</v>
      </c>
      <c r="C205" s="2" t="s">
        <v>567</v>
      </c>
      <c r="D205" s="2" t="s">
        <v>568</v>
      </c>
      <c r="E205" s="11">
        <v>505399.75757575798</v>
      </c>
      <c r="F205" s="11">
        <v>669298.48484848498</v>
      </c>
    </row>
    <row r="206" spans="1:6" x14ac:dyDescent="0.3">
      <c r="A206" s="2" t="s">
        <v>779</v>
      </c>
      <c r="B206" s="2" t="s">
        <v>569</v>
      </c>
      <c r="C206" s="2" t="s">
        <v>567</v>
      </c>
      <c r="D206" s="2" t="s">
        <v>570</v>
      </c>
      <c r="E206" s="11">
        <v>507983.272727273</v>
      </c>
      <c r="F206" s="11">
        <v>672725.45454545401</v>
      </c>
    </row>
    <row r="207" spans="1:6" x14ac:dyDescent="0.3">
      <c r="A207" s="2" t="s">
        <v>780</v>
      </c>
      <c r="B207" s="2" t="s">
        <v>571</v>
      </c>
      <c r="C207" s="2" t="s">
        <v>572</v>
      </c>
      <c r="D207" s="2" t="s">
        <v>573</v>
      </c>
      <c r="E207" s="11">
        <v>510566.78787878802</v>
      </c>
      <c r="F207" s="11">
        <v>676152.42424242396</v>
      </c>
    </row>
    <row r="208" spans="1:6" x14ac:dyDescent="0.3">
      <c r="A208" s="2" t="s">
        <v>781</v>
      </c>
      <c r="B208" s="2" t="s">
        <v>574</v>
      </c>
      <c r="C208" s="2" t="s">
        <v>575</v>
      </c>
      <c r="D208" s="2" t="s">
        <v>576</v>
      </c>
      <c r="E208" s="11">
        <v>513150.30303030298</v>
      </c>
      <c r="F208" s="11">
        <v>679579.39393939404</v>
      </c>
    </row>
    <row r="209" spans="1:6" x14ac:dyDescent="0.3">
      <c r="A209" s="2" t="s">
        <v>782</v>
      </c>
      <c r="B209" s="2" t="s">
        <v>577</v>
      </c>
      <c r="C209" s="2" t="s">
        <v>575</v>
      </c>
      <c r="D209" s="2" t="s">
        <v>578</v>
      </c>
      <c r="E209" s="11">
        <v>515733.818181818</v>
      </c>
      <c r="F209" s="11">
        <v>683006.36363636295</v>
      </c>
    </row>
    <row r="210" spans="1:6" x14ac:dyDescent="0.3">
      <c r="A210" s="2" t="s">
        <v>783</v>
      </c>
      <c r="B210" s="2" t="s">
        <v>579</v>
      </c>
      <c r="C210" s="2" t="s">
        <v>580</v>
      </c>
      <c r="D210" s="2" t="s">
        <v>581</v>
      </c>
      <c r="E210" s="11">
        <v>518317.33333333401</v>
      </c>
      <c r="F210" s="11">
        <v>686433.33333333302</v>
      </c>
    </row>
    <row r="211" spans="1:6" x14ac:dyDescent="0.3">
      <c r="A211" s="2" t="s">
        <v>784</v>
      </c>
      <c r="B211" s="2" t="s">
        <v>582</v>
      </c>
      <c r="C211" s="2" t="s">
        <v>583</v>
      </c>
      <c r="D211" s="2" t="s">
        <v>584</v>
      </c>
      <c r="E211" s="11">
        <v>520900.84848484898</v>
      </c>
      <c r="F211" s="11">
        <v>689860.30303030298</v>
      </c>
    </row>
    <row r="212" spans="1:6" x14ac:dyDescent="0.3">
      <c r="A212" s="2" t="s">
        <v>785</v>
      </c>
      <c r="B212" s="2" t="s">
        <v>559</v>
      </c>
      <c r="C212" s="2" t="s">
        <v>560</v>
      </c>
      <c r="D212" s="2" t="s">
        <v>561</v>
      </c>
      <c r="E212" s="11">
        <v>523484.363636364</v>
      </c>
      <c r="F212" s="11">
        <v>693287.27272727201</v>
      </c>
    </row>
    <row r="213" spans="1:6" x14ac:dyDescent="0.3">
      <c r="A213" s="2" t="s">
        <v>786</v>
      </c>
      <c r="B213" s="2" t="s">
        <v>562</v>
      </c>
      <c r="C213" s="2" t="s">
        <v>560</v>
      </c>
      <c r="D213" s="2" t="s">
        <v>563</v>
      </c>
      <c r="E213" s="11">
        <v>526067.87878787902</v>
      </c>
      <c r="F213" s="11">
        <v>696714.24242424197</v>
      </c>
    </row>
    <row r="214" spans="1:6" x14ac:dyDescent="0.3">
      <c r="A214" s="2" t="s">
        <v>787</v>
      </c>
      <c r="B214" s="2" t="s">
        <v>564</v>
      </c>
      <c r="C214" s="2" t="s">
        <v>560</v>
      </c>
      <c r="D214" s="2" t="s">
        <v>565</v>
      </c>
      <c r="E214" s="11">
        <v>528651.39393939404</v>
      </c>
      <c r="F214" s="11">
        <v>700141.21212121204</v>
      </c>
    </row>
    <row r="215" spans="1:6" x14ac:dyDescent="0.3">
      <c r="A215" s="2" t="s">
        <v>788</v>
      </c>
      <c r="B215" s="2" t="s">
        <v>566</v>
      </c>
      <c r="C215" s="2" t="s">
        <v>567</v>
      </c>
      <c r="D215" s="2" t="s">
        <v>568</v>
      </c>
      <c r="E215" s="11">
        <v>531234.90909090894</v>
      </c>
      <c r="F215" s="11">
        <v>703568.181818182</v>
      </c>
    </row>
    <row r="216" spans="1:6" x14ac:dyDescent="0.3">
      <c r="A216" s="2" t="s">
        <v>789</v>
      </c>
      <c r="B216" s="2" t="s">
        <v>569</v>
      </c>
      <c r="C216" s="2" t="s">
        <v>567</v>
      </c>
      <c r="D216" s="2" t="s">
        <v>570</v>
      </c>
      <c r="E216" s="11">
        <v>533818.42424242501</v>
      </c>
      <c r="F216" s="11">
        <v>706995.15151515102</v>
      </c>
    </row>
    <row r="217" spans="1:6" x14ac:dyDescent="0.3">
      <c r="A217" s="2" t="s">
        <v>790</v>
      </c>
      <c r="B217" s="2" t="s">
        <v>571</v>
      </c>
      <c r="C217" s="2" t="s">
        <v>572</v>
      </c>
      <c r="D217" s="2" t="s">
        <v>573</v>
      </c>
      <c r="E217" s="11">
        <v>536401.93939394003</v>
      </c>
      <c r="F217" s="11">
        <v>710422.12121212098</v>
      </c>
    </row>
    <row r="218" spans="1:6" x14ac:dyDescent="0.3">
      <c r="A218" s="2" t="s">
        <v>791</v>
      </c>
      <c r="B218" s="2" t="s">
        <v>574</v>
      </c>
      <c r="C218" s="2" t="s">
        <v>575</v>
      </c>
      <c r="D218" s="2" t="s">
        <v>576</v>
      </c>
      <c r="E218" s="11">
        <v>538985.45454545505</v>
      </c>
      <c r="F218" s="11">
        <v>713849.09090909106</v>
      </c>
    </row>
    <row r="219" spans="1:6" x14ac:dyDescent="0.3">
      <c r="A219" s="2" t="s">
        <v>792</v>
      </c>
      <c r="B219" s="2" t="s">
        <v>577</v>
      </c>
      <c r="C219" s="2" t="s">
        <v>575</v>
      </c>
      <c r="D219" s="2" t="s">
        <v>578</v>
      </c>
      <c r="E219" s="11">
        <v>541568.96969696996</v>
      </c>
      <c r="F219" s="11">
        <v>717276.06060605997</v>
      </c>
    </row>
    <row r="220" spans="1:6" x14ac:dyDescent="0.3">
      <c r="A220" s="2" t="s">
        <v>793</v>
      </c>
      <c r="B220" s="2" t="s">
        <v>579</v>
      </c>
      <c r="C220" s="2" t="s">
        <v>580</v>
      </c>
      <c r="D220" s="2" t="s">
        <v>581</v>
      </c>
      <c r="E220" s="11">
        <v>544152.48484848498</v>
      </c>
      <c r="F220" s="11">
        <v>720703.03030303004</v>
      </c>
    </row>
    <row r="221" spans="1:6" x14ac:dyDescent="0.3">
      <c r="A221" s="2" t="s">
        <v>794</v>
      </c>
      <c r="B221" s="2" t="s">
        <v>582</v>
      </c>
      <c r="C221" s="2" t="s">
        <v>583</v>
      </c>
      <c r="D221" s="2" t="s">
        <v>584</v>
      </c>
      <c r="E221" s="11">
        <v>546736</v>
      </c>
      <c r="F221" s="11">
        <v>724130</v>
      </c>
    </row>
    <row r="222" spans="1:6" x14ac:dyDescent="0.3">
      <c r="A222" s="2" t="s">
        <v>795</v>
      </c>
      <c r="B222" s="2" t="s">
        <v>559</v>
      </c>
      <c r="C222" s="2" t="s">
        <v>560</v>
      </c>
      <c r="D222" s="2" t="s">
        <v>561</v>
      </c>
      <c r="E222" s="11">
        <v>549319.51515151502</v>
      </c>
      <c r="F222" s="11">
        <v>727556.96969696903</v>
      </c>
    </row>
    <row r="223" spans="1:6" x14ac:dyDescent="0.3">
      <c r="A223" s="2" t="s">
        <v>796</v>
      </c>
      <c r="B223" s="2" t="s">
        <v>562</v>
      </c>
      <c r="C223" s="2" t="s">
        <v>560</v>
      </c>
      <c r="D223" s="2" t="s">
        <v>563</v>
      </c>
      <c r="E223" s="11">
        <v>551903.03030303097</v>
      </c>
      <c r="F223" s="11">
        <v>730983.93939393898</v>
      </c>
    </row>
    <row r="224" spans="1:6" x14ac:dyDescent="0.3">
      <c r="A224" s="2" t="s">
        <v>797</v>
      </c>
      <c r="B224" s="2" t="s">
        <v>564</v>
      </c>
      <c r="C224" s="2" t="s">
        <v>560</v>
      </c>
      <c r="D224" s="2" t="s">
        <v>565</v>
      </c>
      <c r="E224" s="11">
        <v>554486.54545454599</v>
      </c>
      <c r="F224" s="11">
        <v>734410.90909090894</v>
      </c>
    </row>
    <row r="225" spans="1:6" x14ac:dyDescent="0.3">
      <c r="A225" s="2" t="s">
        <v>798</v>
      </c>
      <c r="B225" s="2" t="s">
        <v>566</v>
      </c>
      <c r="C225" s="2" t="s">
        <v>567</v>
      </c>
      <c r="D225" s="2" t="s">
        <v>568</v>
      </c>
      <c r="E225" s="11">
        <v>557070.06060606102</v>
      </c>
      <c r="F225" s="11">
        <v>737837.87878787902</v>
      </c>
    </row>
    <row r="226" spans="1:6" x14ac:dyDescent="0.3">
      <c r="A226" s="2" t="s">
        <v>799</v>
      </c>
      <c r="B226" s="2" t="s">
        <v>569</v>
      </c>
      <c r="C226" s="2" t="s">
        <v>567</v>
      </c>
      <c r="D226" s="2" t="s">
        <v>570</v>
      </c>
      <c r="E226" s="11">
        <v>559653.57575757604</v>
      </c>
      <c r="F226" s="11">
        <v>741264.84848484804</v>
      </c>
    </row>
    <row r="227" spans="1:6" x14ac:dyDescent="0.3">
      <c r="A227" s="2" t="s">
        <v>800</v>
      </c>
      <c r="B227" s="2" t="s">
        <v>571</v>
      </c>
      <c r="C227" s="2" t="s">
        <v>572</v>
      </c>
      <c r="D227" s="2" t="s">
        <v>573</v>
      </c>
      <c r="E227" s="11">
        <v>562237.09090909106</v>
      </c>
      <c r="F227" s="11">
        <v>744691.818181818</v>
      </c>
    </row>
    <row r="228" spans="1:6" x14ac:dyDescent="0.3">
      <c r="A228" s="2" t="s">
        <v>801</v>
      </c>
      <c r="B228" s="2" t="s">
        <v>574</v>
      </c>
      <c r="C228" s="2" t="s">
        <v>575</v>
      </c>
      <c r="D228" s="2" t="s">
        <v>576</v>
      </c>
      <c r="E228" s="11">
        <v>564820.60606060596</v>
      </c>
      <c r="F228" s="11">
        <v>748118.78787878796</v>
      </c>
    </row>
    <row r="229" spans="1:6" x14ac:dyDescent="0.3">
      <c r="A229" s="2" t="s">
        <v>802</v>
      </c>
      <c r="B229" s="2" t="s">
        <v>577</v>
      </c>
      <c r="C229" s="2" t="s">
        <v>575</v>
      </c>
      <c r="D229" s="2" t="s">
        <v>578</v>
      </c>
      <c r="E229" s="11">
        <v>567404.12121212098</v>
      </c>
      <c r="F229" s="11">
        <v>751545.75757575699</v>
      </c>
    </row>
    <row r="230" spans="1:6" x14ac:dyDescent="0.3">
      <c r="A230" s="2" t="s">
        <v>803</v>
      </c>
      <c r="B230" s="2" t="s">
        <v>579</v>
      </c>
      <c r="C230" s="2" t="s">
        <v>580</v>
      </c>
      <c r="D230" s="2" t="s">
        <v>581</v>
      </c>
      <c r="E230" s="11">
        <v>569987.63636363705</v>
      </c>
      <c r="F230" s="11">
        <v>754972.72727272694</v>
      </c>
    </row>
    <row r="231" spans="1:6" x14ac:dyDescent="0.3">
      <c r="A231" s="2" t="s">
        <v>804</v>
      </c>
      <c r="B231" s="2" t="s">
        <v>582</v>
      </c>
      <c r="C231" s="2" t="s">
        <v>583</v>
      </c>
      <c r="D231" s="2" t="s">
        <v>584</v>
      </c>
      <c r="E231" s="11">
        <v>572571.15151515196</v>
      </c>
      <c r="F231" s="11">
        <v>758399.69696969702</v>
      </c>
    </row>
    <row r="232" spans="1:6" x14ac:dyDescent="0.3">
      <c r="A232" s="2" t="s">
        <v>805</v>
      </c>
      <c r="B232" s="2" t="s">
        <v>559</v>
      </c>
      <c r="C232" s="2" t="s">
        <v>560</v>
      </c>
      <c r="D232" s="2" t="s">
        <v>561</v>
      </c>
      <c r="E232" s="11">
        <v>575154.66666666698</v>
      </c>
      <c r="F232" s="11">
        <v>761826.66666666605</v>
      </c>
    </row>
    <row r="233" spans="1:6" x14ac:dyDescent="0.3">
      <c r="A233" s="2" t="s">
        <v>806</v>
      </c>
      <c r="B233" s="2" t="s">
        <v>562</v>
      </c>
      <c r="C233" s="2" t="s">
        <v>560</v>
      </c>
      <c r="D233" s="2" t="s">
        <v>563</v>
      </c>
      <c r="E233" s="11">
        <v>577738.181818182</v>
      </c>
      <c r="F233" s="11">
        <v>765253.636363636</v>
      </c>
    </row>
    <row r="234" spans="1:6" x14ac:dyDescent="0.3">
      <c r="A234" s="2" t="s">
        <v>807</v>
      </c>
      <c r="B234" s="2" t="s">
        <v>564</v>
      </c>
      <c r="C234" s="2" t="s">
        <v>560</v>
      </c>
      <c r="D234" s="2" t="s">
        <v>565</v>
      </c>
      <c r="E234" s="11">
        <v>580321.69696969702</v>
      </c>
      <c r="F234" s="11">
        <v>768680.60606060596</v>
      </c>
    </row>
    <row r="235" spans="1:6" x14ac:dyDescent="0.3">
      <c r="A235" s="2" t="s">
        <v>808</v>
      </c>
      <c r="B235" s="2" t="s">
        <v>566</v>
      </c>
      <c r="C235" s="2" t="s">
        <v>567</v>
      </c>
      <c r="D235" s="2" t="s">
        <v>568</v>
      </c>
      <c r="E235" s="11">
        <v>582905.21212121204</v>
      </c>
      <c r="F235" s="11">
        <v>772107.57575757499</v>
      </c>
    </row>
    <row r="236" spans="1:6" x14ac:dyDescent="0.3">
      <c r="A236" s="2" t="s">
        <v>809</v>
      </c>
      <c r="B236" s="2" t="s">
        <v>569</v>
      </c>
      <c r="C236" s="2" t="s">
        <v>567</v>
      </c>
      <c r="D236" s="2" t="s">
        <v>570</v>
      </c>
      <c r="E236" s="11">
        <v>585488.72727272799</v>
      </c>
      <c r="F236" s="11">
        <v>775534.54545454495</v>
      </c>
    </row>
    <row r="237" spans="1:6" x14ac:dyDescent="0.3">
      <c r="A237" s="2" t="s">
        <v>810</v>
      </c>
      <c r="B237" s="2" t="s">
        <v>571</v>
      </c>
      <c r="C237" s="2" t="s">
        <v>572</v>
      </c>
      <c r="D237" s="2" t="s">
        <v>573</v>
      </c>
      <c r="E237" s="11">
        <v>588072.24242424301</v>
      </c>
      <c r="F237" s="11">
        <v>778961.51515151502</v>
      </c>
    </row>
    <row r="238" spans="1:6" x14ac:dyDescent="0.3">
      <c r="A238" s="2" t="s">
        <v>811</v>
      </c>
      <c r="B238" s="2" t="s">
        <v>574</v>
      </c>
      <c r="C238" s="2" t="s">
        <v>575</v>
      </c>
      <c r="D238" s="2" t="s">
        <v>576</v>
      </c>
      <c r="E238" s="11">
        <v>590655.75757575803</v>
      </c>
      <c r="F238" s="11">
        <v>782388.48484848498</v>
      </c>
    </row>
    <row r="239" spans="1:6" x14ac:dyDescent="0.3">
      <c r="A239" s="2" t="s">
        <v>812</v>
      </c>
      <c r="B239" s="2" t="s">
        <v>577</v>
      </c>
      <c r="C239" s="2" t="s">
        <v>575</v>
      </c>
      <c r="D239" s="2" t="s">
        <v>578</v>
      </c>
      <c r="E239" s="11">
        <v>593239.27272727306</v>
      </c>
      <c r="F239" s="11">
        <v>785815.45454545401</v>
      </c>
    </row>
    <row r="240" spans="1:6" x14ac:dyDescent="0.3">
      <c r="A240" s="2" t="s">
        <v>813</v>
      </c>
      <c r="B240" s="2" t="s">
        <v>579</v>
      </c>
      <c r="C240" s="2" t="s">
        <v>580</v>
      </c>
      <c r="D240" s="2" t="s">
        <v>581</v>
      </c>
      <c r="E240" s="11">
        <v>595822.78787878796</v>
      </c>
      <c r="F240" s="11">
        <v>789242.42424242396</v>
      </c>
    </row>
    <row r="241" spans="1:6" x14ac:dyDescent="0.3">
      <c r="A241" s="2" t="s">
        <v>814</v>
      </c>
      <c r="B241" s="2" t="s">
        <v>582</v>
      </c>
      <c r="C241" s="2" t="s">
        <v>583</v>
      </c>
      <c r="D241" s="2" t="s">
        <v>584</v>
      </c>
      <c r="E241" s="11">
        <v>598406.30303030298</v>
      </c>
      <c r="F241" s="11">
        <v>792669.39393939404</v>
      </c>
    </row>
    <row r="242" spans="1:6" x14ac:dyDescent="0.3">
      <c r="A242" s="2" t="s">
        <v>815</v>
      </c>
      <c r="B242" s="2" t="s">
        <v>559</v>
      </c>
      <c r="C242" s="2" t="s">
        <v>560</v>
      </c>
      <c r="D242" s="2" t="s">
        <v>561</v>
      </c>
      <c r="E242" s="11">
        <v>600989.818181818</v>
      </c>
      <c r="F242" s="11">
        <v>796096.36363636295</v>
      </c>
    </row>
    <row r="243" spans="1:6" x14ac:dyDescent="0.3">
      <c r="A243" s="2" t="s">
        <v>816</v>
      </c>
      <c r="B243" s="2" t="s">
        <v>562</v>
      </c>
      <c r="C243" s="2" t="s">
        <v>560</v>
      </c>
      <c r="D243" s="2" t="s">
        <v>563</v>
      </c>
      <c r="E243" s="11">
        <v>603573.33333333395</v>
      </c>
      <c r="F243" s="11">
        <v>799523.33333333302</v>
      </c>
    </row>
    <row r="244" spans="1:6" x14ac:dyDescent="0.3">
      <c r="A244" s="2" t="s">
        <v>817</v>
      </c>
      <c r="B244" s="2" t="s">
        <v>564</v>
      </c>
      <c r="C244" s="2" t="s">
        <v>560</v>
      </c>
      <c r="D244" s="2" t="s">
        <v>565</v>
      </c>
      <c r="E244" s="11">
        <v>606156.84848484898</v>
      </c>
      <c r="F244" s="11">
        <v>802950.30303030298</v>
      </c>
    </row>
    <row r="245" spans="1:6" x14ac:dyDescent="0.3">
      <c r="A245" s="2" t="s">
        <v>818</v>
      </c>
      <c r="B245" s="2" t="s">
        <v>566</v>
      </c>
      <c r="C245" s="2" t="s">
        <v>567</v>
      </c>
      <c r="D245" s="2" t="s">
        <v>568</v>
      </c>
      <c r="E245" s="11">
        <v>608740.363636364</v>
      </c>
      <c r="F245" s="11">
        <v>806377.27272727201</v>
      </c>
    </row>
    <row r="246" spans="1:6" x14ac:dyDescent="0.3">
      <c r="A246" s="2" t="s">
        <v>819</v>
      </c>
      <c r="B246" s="2" t="s">
        <v>569</v>
      </c>
      <c r="C246" s="2" t="s">
        <v>567</v>
      </c>
      <c r="D246" s="2" t="s">
        <v>570</v>
      </c>
      <c r="E246" s="11">
        <v>611323.87878787902</v>
      </c>
      <c r="F246" s="11">
        <v>809804.24242424197</v>
      </c>
    </row>
    <row r="247" spans="1:6" x14ac:dyDescent="0.3">
      <c r="A247" s="2" t="s">
        <v>820</v>
      </c>
      <c r="B247" s="2" t="s">
        <v>571</v>
      </c>
      <c r="C247" s="2" t="s">
        <v>572</v>
      </c>
      <c r="D247" s="2" t="s">
        <v>573</v>
      </c>
      <c r="E247" s="11">
        <v>613907.39393939404</v>
      </c>
      <c r="F247" s="11">
        <v>813231.21212121204</v>
      </c>
    </row>
    <row r="248" spans="1:6" x14ac:dyDescent="0.3">
      <c r="A248" s="2" t="s">
        <v>821</v>
      </c>
      <c r="B248" s="2" t="s">
        <v>574</v>
      </c>
      <c r="C248" s="2" t="s">
        <v>575</v>
      </c>
      <c r="D248" s="2" t="s">
        <v>576</v>
      </c>
      <c r="E248" s="11">
        <v>616490.90909090894</v>
      </c>
      <c r="F248" s="11">
        <v>816658.181818182</v>
      </c>
    </row>
    <row r="249" spans="1:6" x14ac:dyDescent="0.3">
      <c r="A249" s="2" t="s">
        <v>822</v>
      </c>
      <c r="B249" s="2" t="s">
        <v>577</v>
      </c>
      <c r="C249" s="2" t="s">
        <v>575</v>
      </c>
      <c r="D249" s="2" t="s">
        <v>578</v>
      </c>
      <c r="E249" s="11">
        <v>619074.42424242501</v>
      </c>
      <c r="F249" s="11">
        <v>820085.15151515102</v>
      </c>
    </row>
    <row r="250" spans="1:6" x14ac:dyDescent="0.3">
      <c r="A250" s="2" t="s">
        <v>823</v>
      </c>
      <c r="B250" s="2" t="s">
        <v>579</v>
      </c>
      <c r="C250" s="2" t="s">
        <v>580</v>
      </c>
      <c r="D250" s="2" t="s">
        <v>581</v>
      </c>
      <c r="E250" s="11">
        <v>621657.93939394003</v>
      </c>
      <c r="F250" s="11">
        <v>823512.12121212098</v>
      </c>
    </row>
    <row r="251" spans="1:6" x14ac:dyDescent="0.3">
      <c r="A251" s="2" t="s">
        <v>824</v>
      </c>
      <c r="B251" s="2" t="s">
        <v>582</v>
      </c>
      <c r="C251" s="2" t="s">
        <v>583</v>
      </c>
      <c r="D251" s="2" t="s">
        <v>584</v>
      </c>
      <c r="E251" s="11">
        <v>624241.45454545505</v>
      </c>
      <c r="F251" s="11">
        <v>826939.09090909106</v>
      </c>
    </row>
    <row r="252" spans="1:6" x14ac:dyDescent="0.3">
      <c r="A252" s="2" t="s">
        <v>825</v>
      </c>
      <c r="B252" s="2" t="s">
        <v>559</v>
      </c>
      <c r="C252" s="2" t="s">
        <v>560</v>
      </c>
      <c r="D252" s="2" t="s">
        <v>561</v>
      </c>
      <c r="E252" s="11">
        <v>626824.96969696996</v>
      </c>
      <c r="F252" s="11">
        <v>830366.06060605997</v>
      </c>
    </row>
    <row r="253" spans="1:6" x14ac:dyDescent="0.3">
      <c r="A253" s="2" t="s">
        <v>826</v>
      </c>
      <c r="B253" s="2" t="s">
        <v>562</v>
      </c>
      <c r="C253" s="2" t="s">
        <v>560</v>
      </c>
      <c r="D253" s="2" t="s">
        <v>563</v>
      </c>
      <c r="E253" s="11">
        <v>629408.48484848498</v>
      </c>
      <c r="F253" s="11">
        <v>833793.03030303004</v>
      </c>
    </row>
    <row r="254" spans="1:6" x14ac:dyDescent="0.3">
      <c r="A254" s="2" t="s">
        <v>827</v>
      </c>
      <c r="B254" s="2" t="s">
        <v>564</v>
      </c>
      <c r="C254" s="2" t="s">
        <v>560</v>
      </c>
      <c r="D254" s="2" t="s">
        <v>565</v>
      </c>
      <c r="E254" s="11">
        <v>631992</v>
      </c>
      <c r="F254" s="11">
        <v>837220</v>
      </c>
    </row>
    <row r="255" spans="1:6" x14ac:dyDescent="0.3">
      <c r="A255" s="2" t="s">
        <v>828</v>
      </c>
      <c r="B255" s="2" t="s">
        <v>566</v>
      </c>
      <c r="C255" s="2" t="s">
        <v>567</v>
      </c>
      <c r="D255" s="2" t="s">
        <v>568</v>
      </c>
      <c r="E255" s="11">
        <v>634575.51515151502</v>
      </c>
      <c r="F255" s="11">
        <v>840646.96969696903</v>
      </c>
    </row>
    <row r="256" spans="1:6" x14ac:dyDescent="0.3">
      <c r="A256" s="2" t="s">
        <v>829</v>
      </c>
      <c r="B256" s="2" t="s">
        <v>569</v>
      </c>
      <c r="C256" s="2" t="s">
        <v>567</v>
      </c>
      <c r="D256" s="2" t="s">
        <v>570</v>
      </c>
      <c r="E256" s="11">
        <v>637159.03030303097</v>
      </c>
      <c r="F256" s="11">
        <v>844073.93939393898</v>
      </c>
    </row>
    <row r="257" spans="1:6" x14ac:dyDescent="0.3">
      <c r="A257" s="2" t="s">
        <v>830</v>
      </c>
      <c r="B257" s="2" t="s">
        <v>571</v>
      </c>
      <c r="C257" s="2" t="s">
        <v>572</v>
      </c>
      <c r="D257" s="2" t="s">
        <v>573</v>
      </c>
      <c r="E257" s="11">
        <v>639742.54545454599</v>
      </c>
      <c r="F257" s="11">
        <v>847500.90909090894</v>
      </c>
    </row>
    <row r="258" spans="1:6" x14ac:dyDescent="0.3">
      <c r="A258" s="2" t="s">
        <v>831</v>
      </c>
      <c r="B258" s="2" t="s">
        <v>574</v>
      </c>
      <c r="C258" s="2" t="s">
        <v>575</v>
      </c>
      <c r="D258" s="2" t="s">
        <v>576</v>
      </c>
      <c r="E258" s="11">
        <v>642326.06060606102</v>
      </c>
      <c r="F258" s="11">
        <v>850927.87878787902</v>
      </c>
    </row>
    <row r="259" spans="1:6" x14ac:dyDescent="0.3">
      <c r="A259" s="2" t="s">
        <v>832</v>
      </c>
      <c r="B259" s="2" t="s">
        <v>577</v>
      </c>
      <c r="C259" s="2" t="s">
        <v>575</v>
      </c>
      <c r="D259" s="2" t="s">
        <v>578</v>
      </c>
      <c r="E259" s="11">
        <v>644909.57575757604</v>
      </c>
      <c r="F259" s="11">
        <v>854354.84848484804</v>
      </c>
    </row>
    <row r="260" spans="1:6" x14ac:dyDescent="0.3">
      <c r="A260" s="2" t="s">
        <v>833</v>
      </c>
      <c r="B260" s="2" t="s">
        <v>579</v>
      </c>
      <c r="C260" s="2" t="s">
        <v>580</v>
      </c>
      <c r="D260" s="2" t="s">
        <v>581</v>
      </c>
      <c r="E260" s="11">
        <v>647493.09090909106</v>
      </c>
      <c r="F260" s="11">
        <v>857781.818181818</v>
      </c>
    </row>
    <row r="261" spans="1:6" x14ac:dyDescent="0.3">
      <c r="A261" s="2" t="s">
        <v>834</v>
      </c>
      <c r="B261" s="2" t="s">
        <v>582</v>
      </c>
      <c r="C261" s="2" t="s">
        <v>583</v>
      </c>
      <c r="D261" s="2" t="s">
        <v>584</v>
      </c>
      <c r="E261" s="11">
        <v>650076.60606060596</v>
      </c>
      <c r="F261" s="11">
        <v>861208.78787878796</v>
      </c>
    </row>
    <row r="262" spans="1:6" x14ac:dyDescent="0.3">
      <c r="A262" s="2" t="s">
        <v>835</v>
      </c>
      <c r="B262" s="2" t="s">
        <v>559</v>
      </c>
      <c r="C262" s="2" t="s">
        <v>560</v>
      </c>
      <c r="D262" s="2" t="s">
        <v>561</v>
      </c>
      <c r="E262" s="11">
        <v>652660.12121212098</v>
      </c>
      <c r="F262" s="11">
        <v>864635.75757575699</v>
      </c>
    </row>
    <row r="263" spans="1:6" x14ac:dyDescent="0.3">
      <c r="A263" s="2" t="s">
        <v>836</v>
      </c>
      <c r="B263" s="2" t="s">
        <v>562</v>
      </c>
      <c r="C263" s="2" t="s">
        <v>560</v>
      </c>
      <c r="D263" s="2" t="s">
        <v>563</v>
      </c>
      <c r="E263" s="11">
        <v>655243.63636363705</v>
      </c>
      <c r="F263" s="11">
        <v>868062.72727272694</v>
      </c>
    </row>
    <row r="264" spans="1:6" x14ac:dyDescent="0.3">
      <c r="A264" s="2" t="s">
        <v>837</v>
      </c>
      <c r="B264" s="2" t="s">
        <v>564</v>
      </c>
      <c r="C264" s="2" t="s">
        <v>560</v>
      </c>
      <c r="D264" s="2" t="s">
        <v>565</v>
      </c>
      <c r="E264" s="11">
        <v>657827.15151515196</v>
      </c>
      <c r="F264" s="11">
        <v>871489.69696969702</v>
      </c>
    </row>
    <row r="265" spans="1:6" x14ac:dyDescent="0.3">
      <c r="A265" s="2" t="s">
        <v>838</v>
      </c>
      <c r="B265" s="2" t="s">
        <v>566</v>
      </c>
      <c r="C265" s="2" t="s">
        <v>567</v>
      </c>
      <c r="D265" s="2" t="s">
        <v>568</v>
      </c>
      <c r="E265" s="11">
        <v>660410.66666666698</v>
      </c>
      <c r="F265" s="11">
        <v>874916.66666666605</v>
      </c>
    </row>
    <row r="266" spans="1:6" x14ac:dyDescent="0.3">
      <c r="A266" s="2" t="s">
        <v>839</v>
      </c>
      <c r="B266" s="2" t="s">
        <v>569</v>
      </c>
      <c r="C266" s="2" t="s">
        <v>567</v>
      </c>
      <c r="D266" s="2" t="s">
        <v>570</v>
      </c>
      <c r="E266" s="11">
        <v>662994.181818182</v>
      </c>
      <c r="F266" s="11">
        <v>878343.636363636</v>
      </c>
    </row>
    <row r="267" spans="1:6" x14ac:dyDescent="0.3">
      <c r="A267" s="2" t="s">
        <v>840</v>
      </c>
      <c r="B267" s="2" t="s">
        <v>571</v>
      </c>
      <c r="C267" s="2" t="s">
        <v>572</v>
      </c>
      <c r="D267" s="2" t="s">
        <v>573</v>
      </c>
      <c r="E267" s="11">
        <v>665577.69696969702</v>
      </c>
      <c r="F267" s="11">
        <v>881770.60606060596</v>
      </c>
    </row>
    <row r="268" spans="1:6" x14ac:dyDescent="0.3">
      <c r="A268" s="2" t="s">
        <v>841</v>
      </c>
      <c r="B268" s="2" t="s">
        <v>574</v>
      </c>
      <c r="C268" s="2" t="s">
        <v>575</v>
      </c>
      <c r="D268" s="2" t="s">
        <v>576</v>
      </c>
      <c r="E268" s="11">
        <v>668161.21212121204</v>
      </c>
      <c r="F268" s="11">
        <v>885197.57575757604</v>
      </c>
    </row>
    <row r="269" spans="1:6" x14ac:dyDescent="0.3">
      <c r="A269" s="2" t="s">
        <v>842</v>
      </c>
      <c r="B269" s="2" t="s">
        <v>577</v>
      </c>
      <c r="C269" s="2" t="s">
        <v>575</v>
      </c>
      <c r="D269" s="2" t="s">
        <v>578</v>
      </c>
      <c r="E269" s="11">
        <v>670744.72727272799</v>
      </c>
      <c r="F269" s="11">
        <v>888624.54545454495</v>
      </c>
    </row>
    <row r="270" spans="1:6" x14ac:dyDescent="0.3">
      <c r="A270" s="2" t="s">
        <v>843</v>
      </c>
      <c r="B270" s="2" t="s">
        <v>579</v>
      </c>
      <c r="C270" s="2" t="s">
        <v>580</v>
      </c>
      <c r="D270" s="2" t="s">
        <v>581</v>
      </c>
      <c r="E270" s="11">
        <v>673328.24242424301</v>
      </c>
      <c r="F270" s="11">
        <v>892051.51515151502</v>
      </c>
    </row>
    <row r="271" spans="1:6" x14ac:dyDescent="0.3">
      <c r="A271" s="2" t="s">
        <v>844</v>
      </c>
      <c r="B271" s="2" t="s">
        <v>582</v>
      </c>
      <c r="C271" s="2" t="s">
        <v>583</v>
      </c>
      <c r="D271" s="2" t="s">
        <v>584</v>
      </c>
      <c r="E271" s="11">
        <v>675911.75757575803</v>
      </c>
      <c r="F271" s="11">
        <v>895478.48484848498</v>
      </c>
    </row>
    <row r="272" spans="1:6" x14ac:dyDescent="0.3">
      <c r="A272" s="2" t="s">
        <v>845</v>
      </c>
      <c r="B272" s="2" t="s">
        <v>559</v>
      </c>
      <c r="C272" s="2" t="s">
        <v>560</v>
      </c>
      <c r="D272" s="2" t="s">
        <v>561</v>
      </c>
      <c r="E272" s="11">
        <v>678495.27272727306</v>
      </c>
      <c r="F272" s="11">
        <v>898905.45454545401</v>
      </c>
    </row>
    <row r="273" spans="1:6" x14ac:dyDescent="0.3">
      <c r="A273" s="2" t="s">
        <v>846</v>
      </c>
      <c r="B273" s="2" t="s">
        <v>562</v>
      </c>
      <c r="C273" s="2" t="s">
        <v>560</v>
      </c>
      <c r="D273" s="2" t="s">
        <v>563</v>
      </c>
      <c r="E273" s="11">
        <v>681078.78787878796</v>
      </c>
      <c r="F273" s="11">
        <v>902332.42424242396</v>
      </c>
    </row>
    <row r="274" spans="1:6" x14ac:dyDescent="0.3">
      <c r="A274" s="2" t="s">
        <v>847</v>
      </c>
      <c r="B274" s="2" t="s">
        <v>564</v>
      </c>
      <c r="C274" s="2" t="s">
        <v>560</v>
      </c>
      <c r="D274" s="2" t="s">
        <v>565</v>
      </c>
      <c r="E274" s="11">
        <v>683662.30303030298</v>
      </c>
      <c r="F274" s="11">
        <v>905759.39393939404</v>
      </c>
    </row>
    <row r="275" spans="1:6" x14ac:dyDescent="0.3">
      <c r="A275" s="2" t="s">
        <v>848</v>
      </c>
      <c r="B275" s="2" t="s">
        <v>566</v>
      </c>
      <c r="C275" s="2" t="s">
        <v>567</v>
      </c>
      <c r="D275" s="2" t="s">
        <v>568</v>
      </c>
      <c r="E275" s="11">
        <v>686245.818181818</v>
      </c>
      <c r="F275" s="11">
        <v>909186.36363636295</v>
      </c>
    </row>
    <row r="276" spans="1:6" x14ac:dyDescent="0.3">
      <c r="A276" s="2" t="s">
        <v>849</v>
      </c>
      <c r="B276" s="2" t="s">
        <v>569</v>
      </c>
      <c r="C276" s="2" t="s">
        <v>567</v>
      </c>
      <c r="D276" s="2" t="s">
        <v>570</v>
      </c>
      <c r="E276" s="11">
        <v>688829.33333333395</v>
      </c>
      <c r="F276" s="11">
        <v>912613.33333333302</v>
      </c>
    </row>
    <row r="277" spans="1:6" x14ac:dyDescent="0.3">
      <c r="A277" s="2" t="s">
        <v>850</v>
      </c>
      <c r="B277" s="2" t="s">
        <v>571</v>
      </c>
      <c r="C277" s="2" t="s">
        <v>572</v>
      </c>
      <c r="D277" s="2" t="s">
        <v>573</v>
      </c>
      <c r="E277" s="11">
        <v>691412.84848484898</v>
      </c>
      <c r="F277" s="11">
        <v>916040.30303030298</v>
      </c>
    </row>
    <row r="278" spans="1:6" x14ac:dyDescent="0.3">
      <c r="A278" s="2" t="s">
        <v>851</v>
      </c>
      <c r="B278" s="2" t="s">
        <v>574</v>
      </c>
      <c r="C278" s="2" t="s">
        <v>575</v>
      </c>
      <c r="D278" s="2" t="s">
        <v>576</v>
      </c>
      <c r="E278" s="11">
        <v>693996.363636364</v>
      </c>
      <c r="F278" s="11">
        <v>919467.27272727201</v>
      </c>
    </row>
    <row r="279" spans="1:6" x14ac:dyDescent="0.3">
      <c r="A279" s="2" t="s">
        <v>852</v>
      </c>
      <c r="B279" s="2" t="s">
        <v>577</v>
      </c>
      <c r="C279" s="2" t="s">
        <v>575</v>
      </c>
      <c r="D279" s="2" t="s">
        <v>578</v>
      </c>
      <c r="E279" s="11">
        <v>696579.87878787902</v>
      </c>
      <c r="F279" s="11">
        <v>922894.24242424197</v>
      </c>
    </row>
    <row r="280" spans="1:6" x14ac:dyDescent="0.3">
      <c r="A280" s="2" t="s">
        <v>853</v>
      </c>
      <c r="B280" s="2" t="s">
        <v>579</v>
      </c>
      <c r="C280" s="2" t="s">
        <v>580</v>
      </c>
      <c r="D280" s="2" t="s">
        <v>581</v>
      </c>
      <c r="E280" s="11">
        <v>699163.39393939404</v>
      </c>
      <c r="F280" s="11">
        <v>926321.21212121204</v>
      </c>
    </row>
    <row r="281" spans="1:6" x14ac:dyDescent="0.3">
      <c r="A281" s="2" t="s">
        <v>854</v>
      </c>
      <c r="B281" s="2" t="s">
        <v>582</v>
      </c>
      <c r="C281" s="2" t="s">
        <v>583</v>
      </c>
      <c r="D281" s="2" t="s">
        <v>584</v>
      </c>
      <c r="E281" s="11">
        <v>701746.90909090894</v>
      </c>
      <c r="F281" s="11">
        <v>929748.181818182</v>
      </c>
    </row>
    <row r="282" spans="1:6" x14ac:dyDescent="0.3">
      <c r="A282" s="2" t="s">
        <v>855</v>
      </c>
      <c r="B282" s="2" t="s">
        <v>559</v>
      </c>
      <c r="C282" s="2" t="s">
        <v>560</v>
      </c>
      <c r="D282" s="2" t="s">
        <v>561</v>
      </c>
      <c r="E282" s="11">
        <v>704330.42424242501</v>
      </c>
      <c r="F282" s="11">
        <v>933175.15151515102</v>
      </c>
    </row>
    <row r="283" spans="1:6" x14ac:dyDescent="0.3">
      <c r="A283" s="2" t="s">
        <v>856</v>
      </c>
      <c r="B283" s="2" t="s">
        <v>562</v>
      </c>
      <c r="C283" s="2" t="s">
        <v>560</v>
      </c>
      <c r="D283" s="2" t="s">
        <v>563</v>
      </c>
      <c r="E283" s="11">
        <v>706913.93939394003</v>
      </c>
      <c r="F283" s="11">
        <v>936602.12121212098</v>
      </c>
    </row>
    <row r="284" spans="1:6" x14ac:dyDescent="0.3">
      <c r="A284" s="2" t="s">
        <v>857</v>
      </c>
      <c r="B284" s="2" t="s">
        <v>564</v>
      </c>
      <c r="C284" s="2" t="s">
        <v>560</v>
      </c>
      <c r="D284" s="2" t="s">
        <v>565</v>
      </c>
      <c r="E284" s="11">
        <v>709497.45454545505</v>
      </c>
      <c r="F284" s="11">
        <v>940029.09090909106</v>
      </c>
    </row>
    <row r="285" spans="1:6" x14ac:dyDescent="0.3">
      <c r="A285" s="2" t="s">
        <v>858</v>
      </c>
      <c r="B285" s="2" t="s">
        <v>566</v>
      </c>
      <c r="C285" s="2" t="s">
        <v>567</v>
      </c>
      <c r="D285" s="2" t="s">
        <v>568</v>
      </c>
      <c r="E285" s="11">
        <v>712080.96969696996</v>
      </c>
      <c r="F285" s="11">
        <v>943456.06060605997</v>
      </c>
    </row>
    <row r="286" spans="1:6" x14ac:dyDescent="0.3">
      <c r="A286" s="2" t="s">
        <v>859</v>
      </c>
      <c r="B286" s="2" t="s">
        <v>569</v>
      </c>
      <c r="C286" s="2" t="s">
        <v>567</v>
      </c>
      <c r="D286" s="2" t="s">
        <v>570</v>
      </c>
      <c r="E286" s="11">
        <v>714664.48484848498</v>
      </c>
      <c r="F286" s="11">
        <v>946883.03030303004</v>
      </c>
    </row>
    <row r="287" spans="1:6" x14ac:dyDescent="0.3">
      <c r="A287" s="2" t="s">
        <v>860</v>
      </c>
      <c r="B287" s="2" t="s">
        <v>571</v>
      </c>
      <c r="C287" s="2" t="s">
        <v>572</v>
      </c>
      <c r="D287" s="2" t="s">
        <v>573</v>
      </c>
      <c r="E287" s="11">
        <v>717248</v>
      </c>
      <c r="F287" s="11">
        <v>950310</v>
      </c>
    </row>
    <row r="288" spans="1:6" x14ac:dyDescent="0.3">
      <c r="A288" s="2" t="s">
        <v>861</v>
      </c>
      <c r="B288" s="2" t="s">
        <v>574</v>
      </c>
      <c r="C288" s="2" t="s">
        <v>575</v>
      </c>
      <c r="D288" s="2" t="s">
        <v>576</v>
      </c>
      <c r="E288" s="11">
        <v>719831.51515151502</v>
      </c>
      <c r="F288" s="11">
        <v>953736.96969696903</v>
      </c>
    </row>
    <row r="289" spans="1:6" x14ac:dyDescent="0.3">
      <c r="A289" s="2" t="s">
        <v>862</v>
      </c>
      <c r="B289" s="2" t="s">
        <v>577</v>
      </c>
      <c r="C289" s="2" t="s">
        <v>575</v>
      </c>
      <c r="D289" s="2" t="s">
        <v>578</v>
      </c>
      <c r="E289" s="11">
        <v>722415.03030303097</v>
      </c>
      <c r="F289" s="11">
        <v>957163.93939393898</v>
      </c>
    </row>
    <row r="290" spans="1:6" x14ac:dyDescent="0.3">
      <c r="A290" s="2" t="s">
        <v>863</v>
      </c>
      <c r="B290" s="2" t="s">
        <v>579</v>
      </c>
      <c r="C290" s="2" t="s">
        <v>580</v>
      </c>
      <c r="D290" s="2" t="s">
        <v>581</v>
      </c>
      <c r="E290" s="11">
        <v>724998.54545454599</v>
      </c>
      <c r="F290" s="11">
        <v>960590.90909090894</v>
      </c>
    </row>
    <row r="291" spans="1:6" x14ac:dyDescent="0.3">
      <c r="A291" s="2" t="s">
        <v>864</v>
      </c>
      <c r="B291" s="2" t="s">
        <v>582</v>
      </c>
      <c r="C291" s="2" t="s">
        <v>583</v>
      </c>
      <c r="D291" s="2" t="s">
        <v>584</v>
      </c>
      <c r="E291" s="11">
        <v>727582.06060606102</v>
      </c>
      <c r="F291" s="11">
        <v>964017.87878787902</v>
      </c>
    </row>
    <row r="292" spans="1:6" x14ac:dyDescent="0.3">
      <c r="A292" s="2" t="s">
        <v>865</v>
      </c>
      <c r="B292" s="2" t="s">
        <v>559</v>
      </c>
      <c r="C292" s="2" t="s">
        <v>560</v>
      </c>
      <c r="D292" s="2" t="s">
        <v>561</v>
      </c>
      <c r="E292" s="11">
        <v>730165.57575757604</v>
      </c>
      <c r="F292" s="11">
        <v>967444.84848484804</v>
      </c>
    </row>
    <row r="293" spans="1:6" x14ac:dyDescent="0.3">
      <c r="A293" s="2" t="s">
        <v>866</v>
      </c>
      <c r="B293" s="2" t="s">
        <v>562</v>
      </c>
      <c r="C293" s="2" t="s">
        <v>560</v>
      </c>
      <c r="D293" s="2" t="s">
        <v>563</v>
      </c>
      <c r="E293" s="11">
        <v>732749.09090909106</v>
      </c>
      <c r="F293" s="11">
        <v>970871.818181818</v>
      </c>
    </row>
    <row r="294" spans="1:6" x14ac:dyDescent="0.3">
      <c r="A294" s="2" t="s">
        <v>867</v>
      </c>
      <c r="B294" s="2" t="s">
        <v>564</v>
      </c>
      <c r="C294" s="2" t="s">
        <v>560</v>
      </c>
      <c r="D294" s="2" t="s">
        <v>565</v>
      </c>
      <c r="E294" s="11">
        <v>735332.60606060596</v>
      </c>
      <c r="F294" s="11">
        <v>974298.78787878598</v>
      </c>
    </row>
    <row r="295" spans="1:6" x14ac:dyDescent="0.3">
      <c r="A295" s="2" t="s">
        <v>868</v>
      </c>
      <c r="B295" s="2" t="s">
        <v>566</v>
      </c>
      <c r="C295" s="2" t="s">
        <v>567</v>
      </c>
      <c r="D295" s="2" t="s">
        <v>568</v>
      </c>
      <c r="E295" s="11">
        <v>737916.12121212203</v>
      </c>
      <c r="F295" s="11">
        <v>977725.75757575606</v>
      </c>
    </row>
    <row r="296" spans="1:6" x14ac:dyDescent="0.3">
      <c r="A296" s="2" t="s">
        <v>869</v>
      </c>
      <c r="B296" s="2" t="s">
        <v>569</v>
      </c>
      <c r="C296" s="2" t="s">
        <v>567</v>
      </c>
      <c r="D296" s="2" t="s">
        <v>570</v>
      </c>
      <c r="E296" s="11">
        <v>740499.63636363705</v>
      </c>
      <c r="F296" s="11">
        <v>981152.72727272601</v>
      </c>
    </row>
    <row r="297" spans="1:6" x14ac:dyDescent="0.3">
      <c r="A297" s="2" t="s">
        <v>870</v>
      </c>
      <c r="B297" s="2" t="s">
        <v>571</v>
      </c>
      <c r="C297" s="2" t="s">
        <v>572</v>
      </c>
      <c r="D297" s="2" t="s">
        <v>573</v>
      </c>
      <c r="E297" s="11">
        <v>743083.15151515196</v>
      </c>
      <c r="F297" s="11">
        <v>984579.69696969597</v>
      </c>
    </row>
    <row r="298" spans="1:6" x14ac:dyDescent="0.3">
      <c r="A298" s="2" t="s">
        <v>871</v>
      </c>
      <c r="B298" s="2" t="s">
        <v>574</v>
      </c>
      <c r="C298" s="2" t="s">
        <v>575</v>
      </c>
      <c r="D298" s="2" t="s">
        <v>576</v>
      </c>
      <c r="E298" s="11">
        <v>745666.66666666698</v>
      </c>
      <c r="F298" s="11">
        <v>988006.66666666605</v>
      </c>
    </row>
    <row r="299" spans="1:6" x14ac:dyDescent="0.3">
      <c r="A299" s="2" t="s">
        <v>872</v>
      </c>
      <c r="B299" s="2" t="s">
        <v>577</v>
      </c>
      <c r="C299" s="2" t="s">
        <v>575</v>
      </c>
      <c r="D299" s="2" t="s">
        <v>578</v>
      </c>
      <c r="E299" s="11">
        <v>748250.181818182</v>
      </c>
      <c r="F299" s="11">
        <v>991433.636363636</v>
      </c>
    </row>
    <row r="300" spans="1:6" x14ac:dyDescent="0.3">
      <c r="A300" s="2" t="s">
        <v>873</v>
      </c>
      <c r="B300" s="2" t="s">
        <v>579</v>
      </c>
      <c r="C300" s="2" t="s">
        <v>580</v>
      </c>
      <c r="D300" s="2" t="s">
        <v>581</v>
      </c>
      <c r="E300" s="11">
        <v>750833.69696969702</v>
      </c>
      <c r="F300" s="11">
        <v>994860.60606060596</v>
      </c>
    </row>
    <row r="301" spans="1:6" x14ac:dyDescent="0.3">
      <c r="A301" s="2" t="s">
        <v>874</v>
      </c>
      <c r="B301" s="2" t="s">
        <v>582</v>
      </c>
      <c r="C301" s="2" t="s">
        <v>583</v>
      </c>
      <c r="D301" s="2" t="s">
        <v>584</v>
      </c>
      <c r="E301" s="11">
        <v>753417.21212121204</v>
      </c>
      <c r="F301" s="11">
        <v>998287.57575757604</v>
      </c>
    </row>
    <row r="302" spans="1:6" x14ac:dyDescent="0.3">
      <c r="A302" s="2" t="s">
        <v>875</v>
      </c>
      <c r="B302" s="2" t="s">
        <v>559</v>
      </c>
      <c r="C302" s="2" t="s">
        <v>560</v>
      </c>
      <c r="D302" s="2" t="s">
        <v>561</v>
      </c>
      <c r="E302" s="11">
        <v>756000.72727272799</v>
      </c>
      <c r="F302" s="11">
        <v>1001714.54545455</v>
      </c>
    </row>
    <row r="303" spans="1:6" x14ac:dyDescent="0.3">
      <c r="A303" s="2" t="s">
        <v>876</v>
      </c>
      <c r="B303" s="2" t="s">
        <v>562</v>
      </c>
      <c r="C303" s="2" t="s">
        <v>560</v>
      </c>
      <c r="D303" s="2" t="s">
        <v>563</v>
      </c>
      <c r="E303" s="11">
        <v>758584.24242424301</v>
      </c>
      <c r="F303" s="11">
        <v>1005141.51515152</v>
      </c>
    </row>
    <row r="304" spans="1:6" x14ac:dyDescent="0.3">
      <c r="A304" s="2" t="s">
        <v>877</v>
      </c>
      <c r="B304" s="2" t="s">
        <v>564</v>
      </c>
      <c r="C304" s="2" t="s">
        <v>560</v>
      </c>
      <c r="D304" s="2" t="s">
        <v>565</v>
      </c>
      <c r="E304" s="11">
        <v>761167.75757575803</v>
      </c>
      <c r="F304" s="11">
        <v>1008568.48484849</v>
      </c>
    </row>
    <row r="305" spans="1:6" x14ac:dyDescent="0.3">
      <c r="A305" s="2" t="s">
        <v>878</v>
      </c>
      <c r="B305" s="2" t="s">
        <v>566</v>
      </c>
      <c r="C305" s="2" t="s">
        <v>567</v>
      </c>
      <c r="D305" s="2" t="s">
        <v>568</v>
      </c>
      <c r="E305" s="11">
        <v>763751.27272727306</v>
      </c>
      <c r="F305" s="11">
        <v>1011995.4545454599</v>
      </c>
    </row>
    <row r="306" spans="1:6" x14ac:dyDescent="0.3">
      <c r="A306" s="2" t="s">
        <v>879</v>
      </c>
      <c r="B306" s="2" t="s">
        <v>569</v>
      </c>
      <c r="C306" s="2" t="s">
        <v>567</v>
      </c>
      <c r="D306" s="2" t="s">
        <v>570</v>
      </c>
      <c r="E306" s="11">
        <v>766334.78787878796</v>
      </c>
      <c r="F306" s="11">
        <v>1015422.42424243</v>
      </c>
    </row>
    <row r="307" spans="1:6" x14ac:dyDescent="0.3">
      <c r="A307" s="2" t="s">
        <v>880</v>
      </c>
      <c r="B307" s="2" t="s">
        <v>571</v>
      </c>
      <c r="C307" s="2" t="s">
        <v>572</v>
      </c>
      <c r="D307" s="2" t="s">
        <v>573</v>
      </c>
      <c r="E307" s="11">
        <v>768918.30303030298</v>
      </c>
      <c r="F307" s="11">
        <v>1018849.3939394</v>
      </c>
    </row>
    <row r="308" spans="1:6" x14ac:dyDescent="0.3">
      <c r="A308" s="2" t="s">
        <v>881</v>
      </c>
      <c r="B308" s="2" t="s">
        <v>574</v>
      </c>
      <c r="C308" s="2" t="s">
        <v>575</v>
      </c>
      <c r="D308" s="2" t="s">
        <v>576</v>
      </c>
      <c r="E308" s="11">
        <v>771501.818181818</v>
      </c>
      <c r="F308" s="11">
        <v>1022276.36363637</v>
      </c>
    </row>
    <row r="309" spans="1:6" x14ac:dyDescent="0.3">
      <c r="A309" s="2" t="s">
        <v>882</v>
      </c>
      <c r="B309" s="2" t="s">
        <v>577</v>
      </c>
      <c r="C309" s="2" t="s">
        <v>575</v>
      </c>
      <c r="D309" s="2" t="s">
        <v>578</v>
      </c>
      <c r="E309" s="11">
        <v>774085.33333333395</v>
      </c>
      <c r="F309" s="11">
        <v>1025703.33333334</v>
      </c>
    </row>
    <row r="310" spans="1:6" x14ac:dyDescent="0.3">
      <c r="A310" s="2" t="s">
        <v>883</v>
      </c>
      <c r="B310" s="2" t="s">
        <v>579</v>
      </c>
      <c r="C310" s="2" t="s">
        <v>580</v>
      </c>
      <c r="D310" s="2" t="s">
        <v>581</v>
      </c>
      <c r="E310" s="11">
        <v>776668.84848484898</v>
      </c>
      <c r="F310" s="11">
        <v>1029130.30303031</v>
      </c>
    </row>
    <row r="311" spans="1:6" x14ac:dyDescent="0.3">
      <c r="A311" s="2" t="s">
        <v>884</v>
      </c>
      <c r="B311" s="2" t="s">
        <v>582</v>
      </c>
      <c r="C311" s="2" t="s">
        <v>583</v>
      </c>
      <c r="D311" s="2" t="s">
        <v>584</v>
      </c>
      <c r="E311" s="11">
        <v>779252.363636364</v>
      </c>
      <c r="F311" s="11">
        <v>1032557.27272728</v>
      </c>
    </row>
    <row r="312" spans="1:6" x14ac:dyDescent="0.3">
      <c r="A312" s="2" t="s">
        <v>885</v>
      </c>
      <c r="B312" s="2" t="s">
        <v>559</v>
      </c>
      <c r="C312" s="2" t="s">
        <v>560</v>
      </c>
      <c r="D312" s="2" t="s">
        <v>561</v>
      </c>
      <c r="E312" s="11">
        <v>781835.87878787902</v>
      </c>
      <c r="F312" s="11">
        <v>1035984.24242425</v>
      </c>
    </row>
    <row r="313" spans="1:6" x14ac:dyDescent="0.3">
      <c r="A313" s="2" t="s">
        <v>886</v>
      </c>
      <c r="B313" s="2" t="s">
        <v>562</v>
      </c>
      <c r="C313" s="2" t="s">
        <v>560</v>
      </c>
      <c r="D313" s="2" t="s">
        <v>563</v>
      </c>
      <c r="E313" s="11">
        <v>784419.39393939404</v>
      </c>
      <c r="F313" s="11">
        <v>1039411.21212122</v>
      </c>
    </row>
    <row r="314" spans="1:6" x14ac:dyDescent="0.3">
      <c r="A314" s="2" t="s">
        <v>887</v>
      </c>
      <c r="B314" s="2" t="s">
        <v>564</v>
      </c>
      <c r="C314" s="2" t="s">
        <v>560</v>
      </c>
      <c r="D314" s="2" t="s">
        <v>565</v>
      </c>
      <c r="E314" s="11">
        <v>787002.90909090894</v>
      </c>
      <c r="F314" s="11">
        <v>1042838.18181819</v>
      </c>
    </row>
    <row r="315" spans="1:6" x14ac:dyDescent="0.3">
      <c r="A315" s="2" t="s">
        <v>888</v>
      </c>
      <c r="B315" s="2" t="s">
        <v>566</v>
      </c>
      <c r="C315" s="2" t="s">
        <v>567</v>
      </c>
      <c r="D315" s="2" t="s">
        <v>568</v>
      </c>
      <c r="E315" s="11">
        <v>789586.42424242501</v>
      </c>
      <c r="F315" s="11">
        <v>1046265.15151516</v>
      </c>
    </row>
    <row r="316" spans="1:6" x14ac:dyDescent="0.3">
      <c r="A316" s="2" t="s">
        <v>889</v>
      </c>
      <c r="B316" s="2" t="s">
        <v>569</v>
      </c>
      <c r="C316" s="2" t="s">
        <v>567</v>
      </c>
      <c r="D316" s="2" t="s">
        <v>570</v>
      </c>
      <c r="E316" s="11">
        <v>792169.93939394003</v>
      </c>
      <c r="F316" s="11">
        <v>1049692.1212121299</v>
      </c>
    </row>
    <row r="317" spans="1:6" x14ac:dyDescent="0.3">
      <c r="A317" s="2" t="s">
        <v>890</v>
      </c>
      <c r="B317" s="2" t="s">
        <v>571</v>
      </c>
      <c r="C317" s="2" t="s">
        <v>572</v>
      </c>
      <c r="D317" s="2" t="s">
        <v>573</v>
      </c>
      <c r="E317" s="11">
        <v>794753.45454545505</v>
      </c>
      <c r="F317" s="11">
        <v>1053119.0909090899</v>
      </c>
    </row>
    <row r="318" spans="1:6" x14ac:dyDescent="0.3">
      <c r="A318" s="2" t="s">
        <v>891</v>
      </c>
      <c r="B318" s="2" t="s">
        <v>574</v>
      </c>
      <c r="C318" s="2" t="s">
        <v>575</v>
      </c>
      <c r="D318" s="2" t="s">
        <v>576</v>
      </c>
      <c r="E318" s="11">
        <v>797336.96969696996</v>
      </c>
      <c r="F318" s="11">
        <v>1056546.0606060601</v>
      </c>
    </row>
    <row r="319" spans="1:6" x14ac:dyDescent="0.3">
      <c r="A319" s="2" t="s">
        <v>892</v>
      </c>
      <c r="B319" s="2" t="s">
        <v>577</v>
      </c>
      <c r="C319" s="2" t="s">
        <v>575</v>
      </c>
      <c r="D319" s="2" t="s">
        <v>578</v>
      </c>
      <c r="E319" s="11">
        <v>799920.48484848498</v>
      </c>
      <c r="F319" s="11">
        <v>1059973.03030303</v>
      </c>
    </row>
    <row r="320" spans="1:6" x14ac:dyDescent="0.3">
      <c r="A320" s="2" t="s">
        <v>893</v>
      </c>
      <c r="B320" s="2" t="s">
        <v>579</v>
      </c>
      <c r="C320" s="2" t="s">
        <v>580</v>
      </c>
      <c r="D320" s="2" t="s">
        <v>581</v>
      </c>
      <c r="E320" s="11">
        <v>802504</v>
      </c>
      <c r="F320" s="11">
        <v>1063400</v>
      </c>
    </row>
    <row r="321" spans="1:6" x14ac:dyDescent="0.3">
      <c r="A321" s="2" t="s">
        <v>894</v>
      </c>
      <c r="B321" s="2" t="s">
        <v>582</v>
      </c>
      <c r="C321" s="2" t="s">
        <v>583</v>
      </c>
      <c r="D321" s="2" t="s">
        <v>584</v>
      </c>
      <c r="E321" s="11">
        <v>805087.51515151502</v>
      </c>
      <c r="F321" s="11">
        <v>1066826.96969697</v>
      </c>
    </row>
    <row r="322" spans="1:6" x14ac:dyDescent="0.3">
      <c r="A322" s="2" t="s">
        <v>895</v>
      </c>
      <c r="B322" s="2" t="s">
        <v>559</v>
      </c>
      <c r="C322" s="2" t="s">
        <v>560</v>
      </c>
      <c r="D322" s="2" t="s">
        <v>561</v>
      </c>
      <c r="E322" s="11">
        <v>807671.03030303097</v>
      </c>
      <c r="F322" s="11">
        <v>1070253.9393939399</v>
      </c>
    </row>
    <row r="323" spans="1:6" x14ac:dyDescent="0.3">
      <c r="A323" s="2" t="s">
        <v>896</v>
      </c>
      <c r="B323" s="2" t="s">
        <v>562</v>
      </c>
      <c r="C323" s="2" t="s">
        <v>560</v>
      </c>
      <c r="D323" s="2" t="s">
        <v>563</v>
      </c>
      <c r="E323" s="11">
        <v>810254.54545454599</v>
      </c>
      <c r="F323" s="11">
        <v>1073680.9090909101</v>
      </c>
    </row>
    <row r="324" spans="1:6" x14ac:dyDescent="0.3">
      <c r="A324" s="2" t="s">
        <v>897</v>
      </c>
      <c r="B324" s="2" t="s">
        <v>564</v>
      </c>
      <c r="C324" s="2" t="s">
        <v>560</v>
      </c>
      <c r="D324" s="2" t="s">
        <v>565</v>
      </c>
      <c r="E324" s="11">
        <v>812838.06060606102</v>
      </c>
      <c r="F324" s="11">
        <v>1077107.8787878801</v>
      </c>
    </row>
    <row r="325" spans="1:6" x14ac:dyDescent="0.3">
      <c r="A325" s="2" t="s">
        <v>898</v>
      </c>
      <c r="B325" s="2" t="s">
        <v>566</v>
      </c>
      <c r="C325" s="2" t="s">
        <v>567</v>
      </c>
      <c r="D325" s="2" t="s">
        <v>568</v>
      </c>
      <c r="E325" s="11">
        <v>815421.57575757604</v>
      </c>
      <c r="F325" s="11">
        <v>1080534.84848485</v>
      </c>
    </row>
    <row r="326" spans="1:6" x14ac:dyDescent="0.3">
      <c r="A326" s="2" t="s">
        <v>899</v>
      </c>
      <c r="B326" s="2" t="s">
        <v>569</v>
      </c>
      <c r="C326" s="2" t="s">
        <v>567</v>
      </c>
      <c r="D326" s="2" t="s">
        <v>570</v>
      </c>
      <c r="E326" s="11">
        <v>818005.09090909106</v>
      </c>
      <c r="F326" s="11">
        <v>1083961.81818182</v>
      </c>
    </row>
    <row r="327" spans="1:6" x14ac:dyDescent="0.3">
      <c r="A327" s="2" t="s">
        <v>900</v>
      </c>
      <c r="B327" s="2" t="s">
        <v>571</v>
      </c>
      <c r="C327" s="2" t="s">
        <v>572</v>
      </c>
      <c r="D327" s="2" t="s">
        <v>573</v>
      </c>
      <c r="E327" s="11">
        <v>820588.60606060596</v>
      </c>
      <c r="F327" s="11">
        <v>1087388.7878787899</v>
      </c>
    </row>
    <row r="328" spans="1:6" x14ac:dyDescent="0.3">
      <c r="A328" s="2" t="s">
        <v>901</v>
      </c>
      <c r="B328" s="2" t="s">
        <v>574</v>
      </c>
      <c r="C328" s="2" t="s">
        <v>575</v>
      </c>
      <c r="D328" s="2" t="s">
        <v>576</v>
      </c>
      <c r="E328" s="11">
        <v>823172.12121212203</v>
      </c>
      <c r="F328" s="11">
        <v>1090815.7575757599</v>
      </c>
    </row>
    <row r="329" spans="1:6" x14ac:dyDescent="0.3">
      <c r="A329" s="2" t="s">
        <v>902</v>
      </c>
      <c r="B329" s="2" t="s">
        <v>577</v>
      </c>
      <c r="C329" s="2" t="s">
        <v>575</v>
      </c>
      <c r="D329" s="2" t="s">
        <v>578</v>
      </c>
      <c r="E329" s="11">
        <v>825755.63636363705</v>
      </c>
      <c r="F329" s="11">
        <v>1094242.7272727301</v>
      </c>
    </row>
    <row r="330" spans="1:6" x14ac:dyDescent="0.3">
      <c r="A330" s="2" t="s">
        <v>903</v>
      </c>
      <c r="B330" s="2" t="s">
        <v>579</v>
      </c>
      <c r="C330" s="2" t="s">
        <v>580</v>
      </c>
      <c r="D330" s="2" t="s">
        <v>581</v>
      </c>
      <c r="E330" s="11">
        <v>828339.15151515196</v>
      </c>
      <c r="F330" s="11">
        <v>1097669.6969697</v>
      </c>
    </row>
    <row r="331" spans="1:6" x14ac:dyDescent="0.3">
      <c r="A331" s="2" t="s">
        <v>904</v>
      </c>
      <c r="B331" s="2" t="s">
        <v>582</v>
      </c>
      <c r="C331" s="2" t="s">
        <v>583</v>
      </c>
      <c r="D331" s="2" t="s">
        <v>584</v>
      </c>
      <c r="E331" s="11">
        <v>830922.66666666698</v>
      </c>
      <c r="F331" s="11">
        <v>1101096.66666667</v>
      </c>
    </row>
    <row r="332" spans="1:6" x14ac:dyDescent="0.3">
      <c r="A332" s="2" t="s">
        <v>905</v>
      </c>
      <c r="B332" s="2" t="s">
        <v>559</v>
      </c>
      <c r="C332" s="2" t="s">
        <v>560</v>
      </c>
      <c r="D332" s="2" t="s">
        <v>561</v>
      </c>
      <c r="E332" s="11">
        <v>833506.181818182</v>
      </c>
      <c r="F332" s="11">
        <v>1104523.63636364</v>
      </c>
    </row>
    <row r="333" spans="1:6" x14ac:dyDescent="0.3">
      <c r="A333" s="2" t="s">
        <v>906</v>
      </c>
      <c r="B333" s="2" t="s">
        <v>562</v>
      </c>
      <c r="C333" s="2" t="s">
        <v>560</v>
      </c>
      <c r="D333" s="2" t="s">
        <v>563</v>
      </c>
      <c r="E333" s="11">
        <v>836089.69696969702</v>
      </c>
      <c r="F333" s="11">
        <v>1107950.6060606099</v>
      </c>
    </row>
    <row r="334" spans="1:6" x14ac:dyDescent="0.3">
      <c r="A334" s="2" t="s">
        <v>907</v>
      </c>
      <c r="B334" s="2" t="s">
        <v>564</v>
      </c>
      <c r="C334" s="2" t="s">
        <v>560</v>
      </c>
      <c r="D334" s="2" t="s">
        <v>565</v>
      </c>
      <c r="E334" s="11">
        <v>838673.21212121297</v>
      </c>
      <c r="F334" s="11">
        <v>1111377.5757575801</v>
      </c>
    </row>
    <row r="335" spans="1:6" x14ac:dyDescent="0.3">
      <c r="A335" s="2" t="s">
        <v>908</v>
      </c>
      <c r="B335" s="2" t="s">
        <v>566</v>
      </c>
      <c r="C335" s="2" t="s">
        <v>567</v>
      </c>
      <c r="D335" s="2" t="s">
        <v>568</v>
      </c>
      <c r="E335" s="11">
        <v>841256.72727272799</v>
      </c>
      <c r="F335" s="11">
        <v>1114804.5454545501</v>
      </c>
    </row>
    <row r="336" spans="1:6" x14ac:dyDescent="0.3">
      <c r="A336" s="2" t="s">
        <v>909</v>
      </c>
      <c r="B336" s="2" t="s">
        <v>569</v>
      </c>
      <c r="C336" s="2" t="s">
        <v>567</v>
      </c>
      <c r="D336" s="2" t="s">
        <v>570</v>
      </c>
      <c r="E336" s="11">
        <v>843840.24242424301</v>
      </c>
      <c r="F336" s="11">
        <v>1118231.51515152</v>
      </c>
    </row>
    <row r="337" spans="1:6" x14ac:dyDescent="0.3">
      <c r="A337" s="2" t="s">
        <v>910</v>
      </c>
      <c r="B337" s="2" t="s">
        <v>571</v>
      </c>
      <c r="C337" s="2" t="s">
        <v>572</v>
      </c>
      <c r="D337" s="2" t="s">
        <v>573</v>
      </c>
      <c r="E337" s="11">
        <v>846423.75757575803</v>
      </c>
      <c r="F337" s="11">
        <v>1121658.48484849</v>
      </c>
    </row>
    <row r="338" spans="1:6" x14ac:dyDescent="0.3">
      <c r="A338" s="2" t="s">
        <v>911</v>
      </c>
      <c r="B338" s="2" t="s">
        <v>574</v>
      </c>
      <c r="C338" s="2" t="s">
        <v>575</v>
      </c>
      <c r="D338" s="2" t="s">
        <v>576</v>
      </c>
      <c r="E338" s="11">
        <v>849007.27272727306</v>
      </c>
      <c r="F338" s="11">
        <v>1125085.4545454599</v>
      </c>
    </row>
    <row r="339" spans="1:6" x14ac:dyDescent="0.3">
      <c r="A339" s="2" t="s">
        <v>912</v>
      </c>
      <c r="B339" s="2" t="s">
        <v>577</v>
      </c>
      <c r="C339" s="2" t="s">
        <v>575</v>
      </c>
      <c r="D339" s="2" t="s">
        <v>578</v>
      </c>
      <c r="E339" s="11">
        <v>851590.78787878796</v>
      </c>
      <c r="F339" s="11">
        <v>1128512.4242424299</v>
      </c>
    </row>
    <row r="340" spans="1:6" x14ac:dyDescent="0.3">
      <c r="A340" s="2" t="s">
        <v>913</v>
      </c>
      <c r="B340" s="2" t="s">
        <v>579</v>
      </c>
      <c r="C340" s="2" t="s">
        <v>580</v>
      </c>
      <c r="D340" s="2" t="s">
        <v>581</v>
      </c>
      <c r="E340" s="11">
        <v>854174.30303030298</v>
      </c>
      <c r="F340" s="11">
        <v>1131939.3939394001</v>
      </c>
    </row>
    <row r="341" spans="1:6" x14ac:dyDescent="0.3">
      <c r="A341" s="2" t="s">
        <v>914</v>
      </c>
      <c r="B341" s="2" t="s">
        <v>582</v>
      </c>
      <c r="C341" s="2" t="s">
        <v>583</v>
      </c>
      <c r="D341" s="2" t="s">
        <v>584</v>
      </c>
      <c r="E341" s="11">
        <v>856757.818181818</v>
      </c>
      <c r="F341" s="11">
        <v>1135366.36363637</v>
      </c>
    </row>
    <row r="342" spans="1:6" x14ac:dyDescent="0.3">
      <c r="A342" s="2" t="s">
        <v>915</v>
      </c>
      <c r="B342" s="2" t="s">
        <v>559</v>
      </c>
      <c r="C342" s="2" t="s">
        <v>560</v>
      </c>
      <c r="D342" s="2" t="s">
        <v>561</v>
      </c>
      <c r="E342" s="11">
        <v>859341.33333333395</v>
      </c>
      <c r="F342" s="11">
        <v>1138793.33333334</v>
      </c>
    </row>
    <row r="343" spans="1:6" x14ac:dyDescent="0.3">
      <c r="A343" s="2" t="s">
        <v>916</v>
      </c>
      <c r="B343" s="2" t="s">
        <v>562</v>
      </c>
      <c r="C343" s="2" t="s">
        <v>560</v>
      </c>
      <c r="D343" s="2" t="s">
        <v>563</v>
      </c>
      <c r="E343" s="11">
        <v>861924.84848484898</v>
      </c>
      <c r="F343" s="11">
        <v>1142220.30303031</v>
      </c>
    </row>
    <row r="344" spans="1:6" x14ac:dyDescent="0.3">
      <c r="A344" s="2" t="s">
        <v>917</v>
      </c>
      <c r="B344" s="2" t="s">
        <v>564</v>
      </c>
      <c r="C344" s="2" t="s">
        <v>560</v>
      </c>
      <c r="D344" s="2" t="s">
        <v>565</v>
      </c>
      <c r="E344" s="11">
        <v>864508.363636364</v>
      </c>
      <c r="F344" s="11">
        <v>1145647.2727272799</v>
      </c>
    </row>
    <row r="345" spans="1:6" x14ac:dyDescent="0.3">
      <c r="A345" s="2" t="s">
        <v>918</v>
      </c>
      <c r="B345" s="2" t="s">
        <v>566</v>
      </c>
      <c r="C345" s="2" t="s">
        <v>567</v>
      </c>
      <c r="D345" s="2" t="s">
        <v>568</v>
      </c>
      <c r="E345" s="11">
        <v>867091.87878787902</v>
      </c>
      <c r="F345" s="11">
        <v>1149074.2424242501</v>
      </c>
    </row>
    <row r="346" spans="1:6" x14ac:dyDescent="0.3">
      <c r="A346" s="2" t="s">
        <v>919</v>
      </c>
      <c r="B346" s="2" t="s">
        <v>569</v>
      </c>
      <c r="C346" s="2" t="s">
        <v>567</v>
      </c>
      <c r="D346" s="2" t="s">
        <v>570</v>
      </c>
      <c r="E346" s="11">
        <v>869675.39393939404</v>
      </c>
      <c r="F346" s="11">
        <v>1152501.2121212201</v>
      </c>
    </row>
    <row r="347" spans="1:6" x14ac:dyDescent="0.3">
      <c r="A347" s="2" t="s">
        <v>920</v>
      </c>
      <c r="B347" s="2" t="s">
        <v>571</v>
      </c>
      <c r="C347" s="2" t="s">
        <v>572</v>
      </c>
      <c r="D347" s="2" t="s">
        <v>573</v>
      </c>
      <c r="E347" s="11">
        <v>872258.90909090894</v>
      </c>
      <c r="F347" s="11">
        <v>1155928.18181819</v>
      </c>
    </row>
    <row r="348" spans="1:6" x14ac:dyDescent="0.3">
      <c r="A348" s="2" t="s">
        <v>921</v>
      </c>
      <c r="B348" s="2" t="s">
        <v>574</v>
      </c>
      <c r="C348" s="2" t="s">
        <v>575</v>
      </c>
      <c r="D348" s="2" t="s">
        <v>576</v>
      </c>
      <c r="E348" s="11">
        <v>874842.42424242501</v>
      </c>
      <c r="F348" s="11">
        <v>1159355.15151516</v>
      </c>
    </row>
    <row r="349" spans="1:6" x14ac:dyDescent="0.3">
      <c r="A349" s="2" t="s">
        <v>922</v>
      </c>
      <c r="B349" s="2" t="s">
        <v>577</v>
      </c>
      <c r="C349" s="2" t="s">
        <v>575</v>
      </c>
      <c r="D349" s="2" t="s">
        <v>578</v>
      </c>
      <c r="E349" s="11">
        <v>877425.93939394003</v>
      </c>
      <c r="F349" s="11">
        <v>1162782.1212121299</v>
      </c>
    </row>
    <row r="350" spans="1:6" x14ac:dyDescent="0.3">
      <c r="A350" s="2" t="s">
        <v>923</v>
      </c>
      <c r="B350" s="2" t="s">
        <v>579</v>
      </c>
      <c r="C350" s="2" t="s">
        <v>580</v>
      </c>
      <c r="D350" s="2" t="s">
        <v>581</v>
      </c>
      <c r="E350" s="11">
        <v>880009.45454545505</v>
      </c>
      <c r="F350" s="11">
        <v>1166209.0909090899</v>
      </c>
    </row>
    <row r="351" spans="1:6" x14ac:dyDescent="0.3">
      <c r="A351" s="2" t="s">
        <v>924</v>
      </c>
      <c r="B351" s="2" t="s">
        <v>582</v>
      </c>
      <c r="C351" s="2" t="s">
        <v>583</v>
      </c>
      <c r="D351" s="2" t="s">
        <v>584</v>
      </c>
      <c r="E351" s="11">
        <v>882592.96969696996</v>
      </c>
      <c r="F351" s="11">
        <v>1169636.0606060601</v>
      </c>
    </row>
    <row r="352" spans="1:6" x14ac:dyDescent="0.3">
      <c r="A352" s="2" t="s">
        <v>925</v>
      </c>
      <c r="B352" s="2" t="s">
        <v>559</v>
      </c>
      <c r="C352" s="2" t="s">
        <v>560</v>
      </c>
      <c r="D352" s="2" t="s">
        <v>561</v>
      </c>
      <c r="E352" s="11">
        <v>885176.48484848498</v>
      </c>
      <c r="F352" s="11">
        <v>1173063.03030303</v>
      </c>
    </row>
    <row r="353" spans="1:6" x14ac:dyDescent="0.3">
      <c r="A353" s="2" t="s">
        <v>926</v>
      </c>
      <c r="B353" s="2" t="s">
        <v>562</v>
      </c>
      <c r="C353" s="2" t="s">
        <v>560</v>
      </c>
      <c r="D353" s="2" t="s">
        <v>563</v>
      </c>
      <c r="E353" s="11">
        <v>887760</v>
      </c>
      <c r="F353" s="11">
        <v>1176490</v>
      </c>
    </row>
    <row r="354" spans="1:6" x14ac:dyDescent="0.3">
      <c r="A354" s="2" t="s">
        <v>927</v>
      </c>
      <c r="B354" s="2" t="s">
        <v>564</v>
      </c>
      <c r="C354" s="2" t="s">
        <v>560</v>
      </c>
      <c r="D354" s="2" t="s">
        <v>565</v>
      </c>
      <c r="E354" s="11">
        <v>890343.51515151502</v>
      </c>
      <c r="F354" s="11">
        <v>1179916.96969697</v>
      </c>
    </row>
    <row r="355" spans="1:6" x14ac:dyDescent="0.3">
      <c r="A355" s="2" t="s">
        <v>928</v>
      </c>
      <c r="B355" s="2" t="s">
        <v>566</v>
      </c>
      <c r="C355" s="2" t="s">
        <v>567</v>
      </c>
      <c r="D355" s="2" t="s">
        <v>568</v>
      </c>
      <c r="E355" s="11">
        <v>892927.03030303097</v>
      </c>
      <c r="F355" s="11">
        <v>1183343.9393939399</v>
      </c>
    </row>
    <row r="356" spans="1:6" x14ac:dyDescent="0.3">
      <c r="A356" s="2" t="s">
        <v>929</v>
      </c>
      <c r="B356" s="2" t="s">
        <v>569</v>
      </c>
      <c r="C356" s="2" t="s">
        <v>567</v>
      </c>
      <c r="D356" s="2" t="s">
        <v>570</v>
      </c>
      <c r="E356" s="11">
        <v>895510.54545454599</v>
      </c>
      <c r="F356" s="11">
        <v>1186770.9090909101</v>
      </c>
    </row>
    <row r="357" spans="1:6" x14ac:dyDescent="0.3">
      <c r="A357" s="2" t="s">
        <v>930</v>
      </c>
      <c r="B357" s="2" t="s">
        <v>571</v>
      </c>
      <c r="C357" s="2" t="s">
        <v>572</v>
      </c>
      <c r="D357" s="2" t="s">
        <v>573</v>
      </c>
      <c r="E357" s="11">
        <v>898094.06060606102</v>
      </c>
      <c r="F357" s="11">
        <v>1190197.8787878801</v>
      </c>
    </row>
    <row r="358" spans="1:6" x14ac:dyDescent="0.3">
      <c r="A358" s="2" t="s">
        <v>931</v>
      </c>
      <c r="B358" s="2" t="s">
        <v>574</v>
      </c>
      <c r="C358" s="2" t="s">
        <v>575</v>
      </c>
      <c r="D358" s="2" t="s">
        <v>576</v>
      </c>
      <c r="E358" s="11">
        <v>900677.57575757604</v>
      </c>
      <c r="F358" s="11">
        <v>1193624.84848485</v>
      </c>
    </row>
    <row r="359" spans="1:6" x14ac:dyDescent="0.3">
      <c r="A359" s="2" t="s">
        <v>932</v>
      </c>
      <c r="B359" s="2" t="s">
        <v>577</v>
      </c>
      <c r="C359" s="2" t="s">
        <v>575</v>
      </c>
      <c r="D359" s="2" t="s">
        <v>578</v>
      </c>
      <c r="E359" s="11">
        <v>903261.09090909106</v>
      </c>
      <c r="F359" s="11">
        <v>1197051.81818182</v>
      </c>
    </row>
    <row r="360" spans="1:6" x14ac:dyDescent="0.3">
      <c r="A360" s="2" t="s">
        <v>933</v>
      </c>
      <c r="B360" s="2" t="s">
        <v>579</v>
      </c>
      <c r="C360" s="2" t="s">
        <v>580</v>
      </c>
      <c r="D360" s="2" t="s">
        <v>581</v>
      </c>
      <c r="E360" s="11">
        <v>905844.60606060596</v>
      </c>
      <c r="F360" s="11">
        <v>1200478.7878787899</v>
      </c>
    </row>
    <row r="361" spans="1:6" x14ac:dyDescent="0.3">
      <c r="A361" s="2" t="s">
        <v>934</v>
      </c>
      <c r="B361" s="2" t="s">
        <v>582</v>
      </c>
      <c r="C361" s="2" t="s">
        <v>583</v>
      </c>
      <c r="D361" s="2" t="s">
        <v>584</v>
      </c>
      <c r="E361" s="11">
        <v>908428.12121212203</v>
      </c>
      <c r="F361" s="11">
        <v>1203905.7575757599</v>
      </c>
    </row>
    <row r="362" spans="1:6" x14ac:dyDescent="0.3">
      <c r="A362" s="2" t="s">
        <v>935</v>
      </c>
      <c r="B362" s="2" t="s">
        <v>559</v>
      </c>
      <c r="C362" s="2" t="s">
        <v>560</v>
      </c>
      <c r="D362" s="2" t="s">
        <v>561</v>
      </c>
      <c r="E362" s="11">
        <v>911011.63636363705</v>
      </c>
      <c r="F362" s="11">
        <v>1207332.7272727301</v>
      </c>
    </row>
    <row r="363" spans="1:6" x14ac:dyDescent="0.3">
      <c r="A363" s="2" t="s">
        <v>936</v>
      </c>
      <c r="B363" s="2" t="s">
        <v>562</v>
      </c>
      <c r="C363" s="2" t="s">
        <v>560</v>
      </c>
      <c r="D363" s="2" t="s">
        <v>563</v>
      </c>
      <c r="E363" s="11">
        <v>913595.15151515196</v>
      </c>
      <c r="F363" s="11">
        <v>1210759.6969697</v>
      </c>
    </row>
    <row r="364" spans="1:6" x14ac:dyDescent="0.3">
      <c r="A364" s="2" t="s">
        <v>937</v>
      </c>
      <c r="B364" s="2" t="s">
        <v>564</v>
      </c>
      <c r="C364" s="2" t="s">
        <v>560</v>
      </c>
      <c r="D364" s="2" t="s">
        <v>565</v>
      </c>
      <c r="E364" s="11">
        <v>916178.66666666698</v>
      </c>
      <c r="F364" s="11">
        <v>1214186.66666667</v>
      </c>
    </row>
    <row r="365" spans="1:6" x14ac:dyDescent="0.3">
      <c r="A365" s="2" t="s">
        <v>938</v>
      </c>
      <c r="B365" s="2" t="s">
        <v>566</v>
      </c>
      <c r="C365" s="2" t="s">
        <v>567</v>
      </c>
      <c r="D365" s="2" t="s">
        <v>568</v>
      </c>
      <c r="E365" s="11">
        <v>918762.181818182</v>
      </c>
      <c r="F365" s="11">
        <v>1217613.63636364</v>
      </c>
    </row>
    <row r="366" spans="1:6" x14ac:dyDescent="0.3">
      <c r="A366" s="2" t="s">
        <v>939</v>
      </c>
      <c r="B366" s="2" t="s">
        <v>569</v>
      </c>
      <c r="C366" s="2" t="s">
        <v>567</v>
      </c>
      <c r="D366" s="2" t="s">
        <v>570</v>
      </c>
      <c r="E366" s="11">
        <v>921345.69696969702</v>
      </c>
      <c r="F366" s="11">
        <v>1221040.6060606099</v>
      </c>
    </row>
    <row r="367" spans="1:6" x14ac:dyDescent="0.3">
      <c r="A367" s="2" t="s">
        <v>940</v>
      </c>
      <c r="B367" s="2" t="s">
        <v>571</v>
      </c>
      <c r="C367" s="2" t="s">
        <v>572</v>
      </c>
      <c r="D367" s="2" t="s">
        <v>573</v>
      </c>
      <c r="E367" s="11">
        <v>923929.21212121297</v>
      </c>
      <c r="F367" s="11">
        <v>1224467.5757575801</v>
      </c>
    </row>
    <row r="368" spans="1:6" x14ac:dyDescent="0.3">
      <c r="A368" s="2" t="s">
        <v>941</v>
      </c>
      <c r="B368" s="2" t="s">
        <v>574</v>
      </c>
      <c r="C368" s="2" t="s">
        <v>575</v>
      </c>
      <c r="D368" s="2" t="s">
        <v>576</v>
      </c>
      <c r="E368" s="11">
        <v>926512.72727272799</v>
      </c>
      <c r="F368" s="11">
        <v>1227894.5454545501</v>
      </c>
    </row>
    <row r="369" spans="1:6" x14ac:dyDescent="0.3">
      <c r="A369" s="2" t="s">
        <v>942</v>
      </c>
      <c r="B369" s="2" t="s">
        <v>577</v>
      </c>
      <c r="C369" s="2" t="s">
        <v>575</v>
      </c>
      <c r="D369" s="2" t="s">
        <v>578</v>
      </c>
      <c r="E369" s="11">
        <v>929096.24242424301</v>
      </c>
      <c r="F369" s="11">
        <v>1231321.51515152</v>
      </c>
    </row>
    <row r="370" spans="1:6" x14ac:dyDescent="0.3">
      <c r="A370" s="2" t="s">
        <v>943</v>
      </c>
      <c r="B370" s="2" t="s">
        <v>579</v>
      </c>
      <c r="C370" s="2" t="s">
        <v>580</v>
      </c>
      <c r="D370" s="2" t="s">
        <v>581</v>
      </c>
      <c r="E370" s="11">
        <v>931679.75757575803</v>
      </c>
      <c r="F370" s="11">
        <v>1234748.48484849</v>
      </c>
    </row>
    <row r="371" spans="1:6" x14ac:dyDescent="0.3">
      <c r="A371" s="2" t="s">
        <v>944</v>
      </c>
      <c r="B371" s="2" t="s">
        <v>582</v>
      </c>
      <c r="C371" s="2" t="s">
        <v>583</v>
      </c>
      <c r="D371" s="2" t="s">
        <v>584</v>
      </c>
      <c r="E371" s="11">
        <v>934263.27272727306</v>
      </c>
      <c r="F371" s="11">
        <v>1238175.4545454599</v>
      </c>
    </row>
    <row r="372" spans="1:6" x14ac:dyDescent="0.3">
      <c r="A372" s="2" t="s">
        <v>945</v>
      </c>
      <c r="B372" s="2" t="s">
        <v>559</v>
      </c>
      <c r="C372" s="2" t="s">
        <v>560</v>
      </c>
      <c r="D372" s="2" t="s">
        <v>561</v>
      </c>
      <c r="E372" s="11">
        <v>936846.78787878796</v>
      </c>
      <c r="F372" s="11">
        <v>1241602.4242424299</v>
      </c>
    </row>
    <row r="373" spans="1:6" x14ac:dyDescent="0.3">
      <c r="A373" s="2" t="s">
        <v>946</v>
      </c>
      <c r="B373" s="2" t="s">
        <v>562</v>
      </c>
      <c r="C373" s="2" t="s">
        <v>560</v>
      </c>
      <c r="D373" s="2" t="s">
        <v>563</v>
      </c>
      <c r="E373" s="11">
        <v>939430.30303030298</v>
      </c>
      <c r="F373" s="11">
        <v>1245029.3939394001</v>
      </c>
    </row>
    <row r="374" spans="1:6" x14ac:dyDescent="0.3">
      <c r="A374" s="2" t="s">
        <v>947</v>
      </c>
      <c r="B374" s="2" t="s">
        <v>564</v>
      </c>
      <c r="C374" s="2" t="s">
        <v>560</v>
      </c>
      <c r="D374" s="2" t="s">
        <v>565</v>
      </c>
      <c r="E374" s="11">
        <v>942013.818181818</v>
      </c>
      <c r="F374" s="11">
        <v>1248456.36363637</v>
      </c>
    </row>
    <row r="375" spans="1:6" x14ac:dyDescent="0.3">
      <c r="A375" s="2" t="s">
        <v>948</v>
      </c>
      <c r="B375" s="2" t="s">
        <v>566</v>
      </c>
      <c r="C375" s="2" t="s">
        <v>567</v>
      </c>
      <c r="D375" s="2" t="s">
        <v>568</v>
      </c>
      <c r="E375" s="11">
        <v>944597.33333333395</v>
      </c>
      <c r="F375" s="11">
        <v>1251883.33333334</v>
      </c>
    </row>
    <row r="376" spans="1:6" x14ac:dyDescent="0.3">
      <c r="A376" s="2" t="s">
        <v>949</v>
      </c>
      <c r="B376" s="2" t="s">
        <v>569</v>
      </c>
      <c r="C376" s="2" t="s">
        <v>567</v>
      </c>
      <c r="D376" s="2" t="s">
        <v>570</v>
      </c>
      <c r="E376" s="11">
        <v>947180.84848484898</v>
      </c>
      <c r="F376" s="11">
        <v>1255310.30303031</v>
      </c>
    </row>
    <row r="377" spans="1:6" x14ac:dyDescent="0.3">
      <c r="A377" s="2" t="s">
        <v>950</v>
      </c>
      <c r="B377" s="2" t="s">
        <v>571</v>
      </c>
      <c r="C377" s="2" t="s">
        <v>572</v>
      </c>
      <c r="D377" s="2" t="s">
        <v>573</v>
      </c>
      <c r="E377" s="11">
        <v>949764.363636364</v>
      </c>
      <c r="F377" s="11">
        <v>1258737.2727272799</v>
      </c>
    </row>
    <row r="378" spans="1:6" x14ac:dyDescent="0.3">
      <c r="A378" s="2" t="s">
        <v>951</v>
      </c>
      <c r="B378" s="2" t="s">
        <v>574</v>
      </c>
      <c r="C378" s="2" t="s">
        <v>575</v>
      </c>
      <c r="D378" s="2" t="s">
        <v>576</v>
      </c>
      <c r="E378" s="11">
        <v>952347.87878787902</v>
      </c>
      <c r="F378" s="11">
        <v>1262164.2424242501</v>
      </c>
    </row>
    <row r="379" spans="1:6" x14ac:dyDescent="0.3">
      <c r="A379" s="2" t="s">
        <v>952</v>
      </c>
      <c r="B379" s="2" t="s">
        <v>577</v>
      </c>
      <c r="C379" s="2" t="s">
        <v>575</v>
      </c>
      <c r="D379" s="2" t="s">
        <v>578</v>
      </c>
      <c r="E379" s="11">
        <v>954931.39393939404</v>
      </c>
      <c r="F379" s="11">
        <v>1265591.2121212201</v>
      </c>
    </row>
    <row r="380" spans="1:6" x14ac:dyDescent="0.3">
      <c r="A380" s="2" t="s">
        <v>953</v>
      </c>
      <c r="B380" s="2" t="s">
        <v>579</v>
      </c>
      <c r="C380" s="2" t="s">
        <v>580</v>
      </c>
      <c r="D380" s="2" t="s">
        <v>581</v>
      </c>
      <c r="E380" s="11">
        <v>957514.90909090894</v>
      </c>
      <c r="F380" s="11">
        <v>1269018.18181819</v>
      </c>
    </row>
    <row r="381" spans="1:6" x14ac:dyDescent="0.3">
      <c r="A381" s="2" t="s">
        <v>954</v>
      </c>
      <c r="B381" s="2" t="s">
        <v>582</v>
      </c>
      <c r="C381" s="2" t="s">
        <v>583</v>
      </c>
      <c r="D381" s="2" t="s">
        <v>584</v>
      </c>
      <c r="E381" s="11">
        <v>960098.42424242501</v>
      </c>
      <c r="F381" s="11">
        <v>1272445.15151516</v>
      </c>
    </row>
    <row r="382" spans="1:6" x14ac:dyDescent="0.3">
      <c r="A382" s="2" t="s">
        <v>955</v>
      </c>
      <c r="B382" s="2" t="s">
        <v>559</v>
      </c>
      <c r="C382" s="2" t="s">
        <v>560</v>
      </c>
      <c r="D382" s="2" t="s">
        <v>561</v>
      </c>
      <c r="E382" s="11">
        <v>962681.93939394003</v>
      </c>
      <c r="F382" s="11">
        <v>1275872.1212121299</v>
      </c>
    </row>
    <row r="383" spans="1:6" x14ac:dyDescent="0.3">
      <c r="A383" s="2" t="s">
        <v>956</v>
      </c>
      <c r="B383" s="2" t="s">
        <v>562</v>
      </c>
      <c r="C383" s="2" t="s">
        <v>560</v>
      </c>
      <c r="D383" s="2" t="s">
        <v>563</v>
      </c>
      <c r="E383" s="11">
        <v>965265.45454545505</v>
      </c>
      <c r="F383" s="11">
        <v>1279299.0909090899</v>
      </c>
    </row>
    <row r="384" spans="1:6" x14ac:dyDescent="0.3">
      <c r="A384" s="2" t="s">
        <v>957</v>
      </c>
      <c r="B384" s="2" t="s">
        <v>564</v>
      </c>
      <c r="C384" s="2" t="s">
        <v>560</v>
      </c>
      <c r="D384" s="2" t="s">
        <v>565</v>
      </c>
      <c r="E384" s="11">
        <v>967848.96969696996</v>
      </c>
      <c r="F384" s="11">
        <v>1282726.0606060601</v>
      </c>
    </row>
    <row r="385" spans="1:6" x14ac:dyDescent="0.3">
      <c r="A385" s="2" t="s">
        <v>958</v>
      </c>
      <c r="B385" s="2" t="s">
        <v>566</v>
      </c>
      <c r="C385" s="2" t="s">
        <v>567</v>
      </c>
      <c r="D385" s="2" t="s">
        <v>568</v>
      </c>
      <c r="E385" s="11">
        <v>970432.48484848498</v>
      </c>
      <c r="F385" s="11">
        <v>1286153.03030303</v>
      </c>
    </row>
    <row r="386" spans="1:6" x14ac:dyDescent="0.3">
      <c r="A386" s="2" t="s">
        <v>959</v>
      </c>
      <c r="B386" s="2" t="s">
        <v>569</v>
      </c>
      <c r="C386" s="2" t="s">
        <v>567</v>
      </c>
      <c r="D386" s="2" t="s">
        <v>570</v>
      </c>
      <c r="E386" s="11">
        <v>973016</v>
      </c>
      <c r="F386" s="11">
        <v>1289580</v>
      </c>
    </row>
    <row r="387" spans="1:6" x14ac:dyDescent="0.3">
      <c r="A387" s="2" t="s">
        <v>960</v>
      </c>
      <c r="B387" s="2" t="s">
        <v>571</v>
      </c>
      <c r="C387" s="2" t="s">
        <v>572</v>
      </c>
      <c r="D387" s="2" t="s">
        <v>573</v>
      </c>
      <c r="E387" s="11">
        <v>975599.51515151502</v>
      </c>
      <c r="F387" s="11">
        <v>1293006.96969697</v>
      </c>
    </row>
    <row r="388" spans="1:6" x14ac:dyDescent="0.3">
      <c r="A388" s="2" t="s">
        <v>961</v>
      </c>
      <c r="B388" s="2" t="s">
        <v>574</v>
      </c>
      <c r="C388" s="2" t="s">
        <v>575</v>
      </c>
      <c r="D388" s="2" t="s">
        <v>576</v>
      </c>
      <c r="E388" s="11">
        <v>978183.03030303097</v>
      </c>
      <c r="F388" s="11">
        <v>1296433.9393939399</v>
      </c>
    </row>
    <row r="389" spans="1:6" x14ac:dyDescent="0.3">
      <c r="A389" s="2" t="s">
        <v>962</v>
      </c>
      <c r="B389" s="2" t="s">
        <v>577</v>
      </c>
      <c r="C389" s="2" t="s">
        <v>575</v>
      </c>
      <c r="D389" s="2" t="s">
        <v>578</v>
      </c>
      <c r="E389" s="11">
        <v>980766.54545454599</v>
      </c>
      <c r="F389" s="11">
        <v>1299860.9090909101</v>
      </c>
    </row>
    <row r="390" spans="1:6" x14ac:dyDescent="0.3">
      <c r="A390" s="2" t="s">
        <v>963</v>
      </c>
      <c r="B390" s="2" t="s">
        <v>579</v>
      </c>
      <c r="C390" s="2" t="s">
        <v>580</v>
      </c>
      <c r="D390" s="2" t="s">
        <v>581</v>
      </c>
      <c r="E390" s="11">
        <v>983350.06060606195</v>
      </c>
      <c r="F390" s="11">
        <v>1303287.8787878801</v>
      </c>
    </row>
    <row r="391" spans="1:6" x14ac:dyDescent="0.3">
      <c r="A391" s="2" t="s">
        <v>964</v>
      </c>
      <c r="B391" s="2" t="s">
        <v>582</v>
      </c>
      <c r="C391" s="2" t="s">
        <v>583</v>
      </c>
      <c r="D391" s="2" t="s">
        <v>584</v>
      </c>
      <c r="E391" s="11">
        <v>985933.57575757196</v>
      </c>
      <c r="F391" s="11">
        <v>1306714.84848485</v>
      </c>
    </row>
    <row r="392" spans="1:6" x14ac:dyDescent="0.3">
      <c r="A392" s="2" t="s">
        <v>965</v>
      </c>
      <c r="B392" s="2" t="s">
        <v>559</v>
      </c>
      <c r="C392" s="2" t="s">
        <v>560</v>
      </c>
      <c r="D392" s="2" t="s">
        <v>561</v>
      </c>
      <c r="E392" s="11">
        <v>988517.09090909199</v>
      </c>
      <c r="F392" s="11">
        <v>1310141.81818182</v>
      </c>
    </row>
    <row r="393" spans="1:6" x14ac:dyDescent="0.3">
      <c r="A393" s="2" t="s">
        <v>966</v>
      </c>
      <c r="B393" s="2" t="s">
        <v>562</v>
      </c>
      <c r="C393" s="2" t="s">
        <v>560</v>
      </c>
      <c r="D393" s="2" t="s">
        <v>563</v>
      </c>
      <c r="E393" s="11">
        <v>991100.606060602</v>
      </c>
      <c r="F393" s="11">
        <v>1313568.7878787899</v>
      </c>
    </row>
    <row r="394" spans="1:6" x14ac:dyDescent="0.3">
      <c r="A394" s="2" t="s">
        <v>967</v>
      </c>
      <c r="B394" s="2" t="s">
        <v>564</v>
      </c>
      <c r="C394" s="2" t="s">
        <v>560</v>
      </c>
      <c r="D394" s="2" t="s">
        <v>565</v>
      </c>
      <c r="E394" s="11">
        <v>993684.12121212203</v>
      </c>
      <c r="F394" s="11">
        <v>1316995.7575757599</v>
      </c>
    </row>
    <row r="395" spans="1:6" x14ac:dyDescent="0.3">
      <c r="A395" s="2" t="s">
        <v>968</v>
      </c>
      <c r="B395" s="2" t="s">
        <v>566</v>
      </c>
      <c r="C395" s="2" t="s">
        <v>567</v>
      </c>
      <c r="D395" s="2" t="s">
        <v>568</v>
      </c>
      <c r="E395" s="11">
        <v>996267.63636363205</v>
      </c>
      <c r="F395" s="11">
        <v>1320422.7272727301</v>
      </c>
    </row>
    <row r="396" spans="1:6" x14ac:dyDescent="0.3">
      <c r="A396" s="2" t="s">
        <v>969</v>
      </c>
      <c r="B396" s="2" t="s">
        <v>569</v>
      </c>
      <c r="C396" s="2" t="s">
        <v>567</v>
      </c>
      <c r="D396" s="2" t="s">
        <v>570</v>
      </c>
      <c r="E396" s="11">
        <v>998851.15151515196</v>
      </c>
      <c r="F396" s="11">
        <v>1323849.6969697</v>
      </c>
    </row>
    <row r="397" spans="1:6" x14ac:dyDescent="0.3">
      <c r="A397" s="2" t="s">
        <v>970</v>
      </c>
      <c r="B397" s="2" t="s">
        <v>571</v>
      </c>
      <c r="C397" s="2" t="s">
        <v>572</v>
      </c>
      <c r="D397" s="2" t="s">
        <v>573</v>
      </c>
      <c r="E397" s="11">
        <v>1001434.66666666</v>
      </c>
      <c r="F397" s="11">
        <v>1327276.66666667</v>
      </c>
    </row>
    <row r="398" spans="1:6" x14ac:dyDescent="0.3">
      <c r="A398" s="2" t="s">
        <v>971</v>
      </c>
      <c r="B398" s="2" t="s">
        <v>574</v>
      </c>
      <c r="C398" s="2" t="s">
        <v>575</v>
      </c>
      <c r="D398" s="2" t="s">
        <v>576</v>
      </c>
      <c r="E398" s="11">
        <v>1004018.18181818</v>
      </c>
      <c r="F398" s="11">
        <v>1330703.63636364</v>
      </c>
    </row>
    <row r="399" spans="1:6" x14ac:dyDescent="0.3">
      <c r="A399" s="2" t="s">
        <v>972</v>
      </c>
      <c r="B399" s="2" t="s">
        <v>577</v>
      </c>
      <c r="C399" s="2" t="s">
        <v>575</v>
      </c>
      <c r="D399" s="2" t="s">
        <v>578</v>
      </c>
      <c r="E399" s="11">
        <v>1006601.6969697</v>
      </c>
      <c r="F399" s="11">
        <v>1334130.6060606099</v>
      </c>
    </row>
    <row r="400" spans="1:6" x14ac:dyDescent="0.3">
      <c r="A400" s="2" t="s">
        <v>973</v>
      </c>
      <c r="B400" s="2" t="s">
        <v>579</v>
      </c>
      <c r="C400" s="2" t="s">
        <v>580</v>
      </c>
      <c r="D400" s="2" t="s">
        <v>581</v>
      </c>
      <c r="E400" s="11">
        <v>1009185.2121212099</v>
      </c>
      <c r="F400" s="11">
        <v>1337557.5757575801</v>
      </c>
    </row>
    <row r="401" spans="1:6" x14ac:dyDescent="0.3">
      <c r="A401" s="2" t="s">
        <v>974</v>
      </c>
      <c r="B401" s="2" t="s">
        <v>582</v>
      </c>
      <c r="C401" s="2" t="s">
        <v>583</v>
      </c>
      <c r="D401" s="2" t="s">
        <v>584</v>
      </c>
      <c r="E401" s="11">
        <v>1011768.72727273</v>
      </c>
      <c r="F401" s="11">
        <v>1340984.5454545501</v>
      </c>
    </row>
    <row r="402" spans="1:6" x14ac:dyDescent="0.3">
      <c r="A402" s="2" t="s">
        <v>975</v>
      </c>
      <c r="B402" s="2" t="s">
        <v>559</v>
      </c>
      <c r="C402" s="2" t="s">
        <v>560</v>
      </c>
      <c r="D402" s="2" t="s">
        <v>561</v>
      </c>
      <c r="E402" s="11">
        <v>1014352.24242424</v>
      </c>
      <c r="F402" s="11">
        <v>1344411.51515152</v>
      </c>
    </row>
    <row r="403" spans="1:6" x14ac:dyDescent="0.3">
      <c r="A403" s="2" t="s">
        <v>976</v>
      </c>
      <c r="B403" s="2" t="s">
        <v>562</v>
      </c>
      <c r="C403" s="2" t="s">
        <v>560</v>
      </c>
      <c r="D403" s="2" t="s">
        <v>563</v>
      </c>
      <c r="E403" s="11">
        <v>1016935.75757576</v>
      </c>
      <c r="F403" s="11">
        <v>1347838.48484849</v>
      </c>
    </row>
    <row r="404" spans="1:6" x14ac:dyDescent="0.3">
      <c r="A404" s="2" t="s">
        <v>977</v>
      </c>
      <c r="B404" s="2" t="s">
        <v>564</v>
      </c>
      <c r="C404" s="2" t="s">
        <v>560</v>
      </c>
      <c r="D404" s="2" t="s">
        <v>565</v>
      </c>
      <c r="E404" s="11">
        <v>1019519.27272727</v>
      </c>
      <c r="F404" s="11">
        <v>1351265.4545454599</v>
      </c>
    </row>
    <row r="405" spans="1:6" x14ac:dyDescent="0.3">
      <c r="A405" s="2" t="s">
        <v>978</v>
      </c>
      <c r="B405" s="2" t="s">
        <v>566</v>
      </c>
      <c r="C405" s="2" t="s">
        <v>567</v>
      </c>
      <c r="D405" s="2" t="s">
        <v>568</v>
      </c>
      <c r="E405" s="11">
        <v>1022102.7878787901</v>
      </c>
      <c r="F405" s="11">
        <v>1354692.4242424299</v>
      </c>
    </row>
    <row r="406" spans="1:6" x14ac:dyDescent="0.3">
      <c r="A406" s="2" t="s">
        <v>979</v>
      </c>
      <c r="B406" s="2" t="s">
        <v>569</v>
      </c>
      <c r="C406" s="2" t="s">
        <v>567</v>
      </c>
      <c r="D406" s="2" t="s">
        <v>570</v>
      </c>
      <c r="E406" s="11">
        <v>1024686.3030303</v>
      </c>
      <c r="F406" s="11">
        <v>1358119.3939394001</v>
      </c>
    </row>
    <row r="407" spans="1:6" x14ac:dyDescent="0.3">
      <c r="A407" s="2" t="s">
        <v>980</v>
      </c>
      <c r="B407" s="2" t="s">
        <v>571</v>
      </c>
      <c r="C407" s="2" t="s">
        <v>572</v>
      </c>
      <c r="D407" s="2" t="s">
        <v>573</v>
      </c>
      <c r="E407" s="11">
        <v>1027269.81818182</v>
      </c>
      <c r="F407" s="11">
        <v>1361546.36363637</v>
      </c>
    </row>
    <row r="408" spans="1:6" x14ac:dyDescent="0.3">
      <c r="A408" s="2" t="s">
        <v>981</v>
      </c>
      <c r="B408" s="2" t="s">
        <v>574</v>
      </c>
      <c r="C408" s="2" t="s">
        <v>575</v>
      </c>
      <c r="D408" s="2" t="s">
        <v>576</v>
      </c>
      <c r="E408" s="11">
        <v>1029853.33333333</v>
      </c>
      <c r="F408" s="11">
        <v>1364973.33333334</v>
      </c>
    </row>
    <row r="409" spans="1:6" x14ac:dyDescent="0.3">
      <c r="A409" s="2" t="s">
        <v>982</v>
      </c>
      <c r="B409" s="2" t="s">
        <v>577</v>
      </c>
      <c r="C409" s="2" t="s">
        <v>575</v>
      </c>
      <c r="D409" s="2" t="s">
        <v>578</v>
      </c>
      <c r="E409" s="11">
        <v>1032436.84848485</v>
      </c>
      <c r="F409" s="11">
        <v>1368400.30303031</v>
      </c>
    </row>
    <row r="410" spans="1:6" x14ac:dyDescent="0.3">
      <c r="A410" s="2" t="s">
        <v>983</v>
      </c>
      <c r="B410" s="2" t="s">
        <v>579</v>
      </c>
      <c r="C410" s="2" t="s">
        <v>580</v>
      </c>
      <c r="D410" s="2" t="s">
        <v>581</v>
      </c>
      <c r="E410" s="11">
        <v>1035020.36363636</v>
      </c>
      <c r="F410" s="11">
        <v>1371827.2727272799</v>
      </c>
    </row>
    <row r="411" spans="1:6" x14ac:dyDescent="0.3">
      <c r="A411" s="2" t="s">
        <v>984</v>
      </c>
      <c r="B411" s="2" t="s">
        <v>582</v>
      </c>
      <c r="C411" s="2" t="s">
        <v>583</v>
      </c>
      <c r="D411" s="2" t="s">
        <v>584</v>
      </c>
      <c r="E411" s="11">
        <v>1037603.8787878799</v>
      </c>
      <c r="F411" s="11">
        <v>1375254.2424242501</v>
      </c>
    </row>
    <row r="412" spans="1:6" x14ac:dyDescent="0.3">
      <c r="A412" s="2" t="s">
        <v>985</v>
      </c>
      <c r="B412" s="2" t="s">
        <v>559</v>
      </c>
      <c r="C412" s="2" t="s">
        <v>560</v>
      </c>
      <c r="D412" s="2" t="s">
        <v>561</v>
      </c>
      <c r="E412" s="11">
        <v>1040187.39393939</v>
      </c>
      <c r="F412" s="11">
        <v>1378681.2121212201</v>
      </c>
    </row>
    <row r="413" spans="1:6" x14ac:dyDescent="0.3">
      <c r="A413" s="2" t="s">
        <v>986</v>
      </c>
      <c r="B413" s="2" t="s">
        <v>562</v>
      </c>
      <c r="C413" s="2" t="s">
        <v>560</v>
      </c>
      <c r="D413" s="2" t="s">
        <v>563</v>
      </c>
      <c r="E413" s="11">
        <v>1042770.90909091</v>
      </c>
      <c r="F413" s="11">
        <v>1382108.18181819</v>
      </c>
    </row>
    <row r="414" spans="1:6" x14ac:dyDescent="0.3">
      <c r="A414" s="2" t="s">
        <v>987</v>
      </c>
      <c r="B414" s="2" t="s">
        <v>564</v>
      </c>
      <c r="C414" s="2" t="s">
        <v>560</v>
      </c>
      <c r="D414" s="2" t="s">
        <v>565</v>
      </c>
      <c r="E414" s="11">
        <v>1045354.42424242</v>
      </c>
      <c r="F414" s="11">
        <v>1385535.15151516</v>
      </c>
    </row>
    <row r="415" spans="1:6" x14ac:dyDescent="0.3">
      <c r="A415" s="2" t="s">
        <v>988</v>
      </c>
      <c r="B415" s="2" t="s">
        <v>566</v>
      </c>
      <c r="C415" s="2" t="s">
        <v>567</v>
      </c>
      <c r="D415" s="2" t="s">
        <v>568</v>
      </c>
      <c r="E415" s="11">
        <v>1047937.93939394</v>
      </c>
      <c r="F415" s="11">
        <v>1388962.1212121299</v>
      </c>
    </row>
    <row r="416" spans="1:6" x14ac:dyDescent="0.3">
      <c r="A416" s="2" t="s">
        <v>989</v>
      </c>
      <c r="B416" s="2" t="s">
        <v>569</v>
      </c>
      <c r="C416" s="2" t="s">
        <v>567</v>
      </c>
      <c r="D416" s="2" t="s">
        <v>570</v>
      </c>
      <c r="E416" s="11">
        <v>1050521.4545454499</v>
      </c>
      <c r="F416" s="11">
        <v>1392389.0909090899</v>
      </c>
    </row>
    <row r="417" spans="1:6" x14ac:dyDescent="0.3">
      <c r="A417" s="2" t="s">
        <v>990</v>
      </c>
      <c r="B417" s="2" t="s">
        <v>571</v>
      </c>
      <c r="C417" s="2" t="s">
        <v>572</v>
      </c>
      <c r="D417" s="2" t="s">
        <v>573</v>
      </c>
      <c r="E417" s="11">
        <v>1053104.96969697</v>
      </c>
      <c r="F417" s="11">
        <v>1395816.0606060601</v>
      </c>
    </row>
    <row r="418" spans="1:6" x14ac:dyDescent="0.3">
      <c r="A418" s="2" t="s">
        <v>991</v>
      </c>
      <c r="B418" s="2" t="s">
        <v>574</v>
      </c>
      <c r="C418" s="2" t="s">
        <v>575</v>
      </c>
      <c r="D418" s="2" t="s">
        <v>576</v>
      </c>
      <c r="E418" s="11">
        <v>1055688.48484848</v>
      </c>
      <c r="F418" s="11">
        <v>1399243.03030303</v>
      </c>
    </row>
    <row r="419" spans="1:6" x14ac:dyDescent="0.3">
      <c r="A419" s="2" t="s">
        <v>992</v>
      </c>
      <c r="B419" s="2" t="s">
        <v>577</v>
      </c>
      <c r="C419" s="2" t="s">
        <v>575</v>
      </c>
      <c r="D419" s="2" t="s">
        <v>578</v>
      </c>
      <c r="E419" s="11">
        <v>1058272</v>
      </c>
      <c r="F419" s="11">
        <v>1402670</v>
      </c>
    </row>
    <row r="420" spans="1:6" x14ac:dyDescent="0.3">
      <c r="A420" s="2" t="s">
        <v>993</v>
      </c>
      <c r="B420" s="2" t="s">
        <v>579</v>
      </c>
      <c r="C420" s="2" t="s">
        <v>580</v>
      </c>
      <c r="D420" s="2" t="s">
        <v>581</v>
      </c>
      <c r="E420" s="11">
        <v>1060855.51515151</v>
      </c>
      <c r="F420" s="11">
        <v>1406096.96969697</v>
      </c>
    </row>
    <row r="421" spans="1:6" x14ac:dyDescent="0.3">
      <c r="A421" s="2" t="s">
        <v>994</v>
      </c>
      <c r="B421" s="2" t="s">
        <v>582</v>
      </c>
      <c r="C421" s="2" t="s">
        <v>583</v>
      </c>
      <c r="D421" s="2" t="s">
        <v>584</v>
      </c>
      <c r="E421" s="11">
        <v>1063439.03030303</v>
      </c>
      <c r="F421" s="11">
        <v>1409523.9393939399</v>
      </c>
    </row>
    <row r="422" spans="1:6" x14ac:dyDescent="0.3">
      <c r="A422" s="2" t="s">
        <v>995</v>
      </c>
      <c r="B422" s="2" t="s">
        <v>559</v>
      </c>
      <c r="C422" s="2" t="s">
        <v>560</v>
      </c>
      <c r="D422" s="2" t="s">
        <v>561</v>
      </c>
      <c r="E422" s="11">
        <v>1066022.5454545401</v>
      </c>
      <c r="F422" s="11">
        <v>1412950.9090909101</v>
      </c>
    </row>
    <row r="423" spans="1:6" x14ac:dyDescent="0.3">
      <c r="A423" s="2" t="s">
        <v>996</v>
      </c>
      <c r="B423" s="2" t="s">
        <v>562</v>
      </c>
      <c r="C423" s="2" t="s">
        <v>560</v>
      </c>
      <c r="D423" s="2" t="s">
        <v>563</v>
      </c>
      <c r="E423" s="11">
        <v>1068606.0606060601</v>
      </c>
      <c r="F423" s="11">
        <v>1416377.8787878801</v>
      </c>
    </row>
    <row r="424" spans="1:6" x14ac:dyDescent="0.3">
      <c r="A424" s="2" t="s">
        <v>997</v>
      </c>
      <c r="B424" s="2" t="s">
        <v>564</v>
      </c>
      <c r="C424" s="2" t="s">
        <v>560</v>
      </c>
      <c r="D424" s="2" t="s">
        <v>565</v>
      </c>
      <c r="E424" s="11">
        <v>1071189.5757575701</v>
      </c>
      <c r="F424" s="11">
        <v>1419804.84848485</v>
      </c>
    </row>
    <row r="425" spans="1:6" x14ac:dyDescent="0.3">
      <c r="A425" s="2" t="s">
        <v>998</v>
      </c>
      <c r="B425" s="2" t="s">
        <v>566</v>
      </c>
      <c r="C425" s="2" t="s">
        <v>567</v>
      </c>
      <c r="D425" s="2" t="s">
        <v>568</v>
      </c>
      <c r="E425" s="11">
        <v>1073773.0909090899</v>
      </c>
      <c r="F425" s="11">
        <v>1423231.81818182</v>
      </c>
    </row>
    <row r="426" spans="1:6" x14ac:dyDescent="0.3">
      <c r="A426" s="2" t="s">
        <v>999</v>
      </c>
      <c r="B426" s="2" t="s">
        <v>569</v>
      </c>
      <c r="C426" s="2" t="s">
        <v>567</v>
      </c>
      <c r="D426" s="2" t="s">
        <v>570</v>
      </c>
      <c r="E426" s="11">
        <v>1076356.6060605999</v>
      </c>
      <c r="F426" s="11">
        <v>1426658.7878787899</v>
      </c>
    </row>
    <row r="427" spans="1:6" x14ac:dyDescent="0.3">
      <c r="A427" s="2" t="s">
        <v>1000</v>
      </c>
      <c r="B427" s="2" t="s">
        <v>571</v>
      </c>
      <c r="C427" s="2" t="s">
        <v>572</v>
      </c>
      <c r="D427" s="2" t="s">
        <v>573</v>
      </c>
      <c r="E427" s="11">
        <v>1078940.1212121199</v>
      </c>
      <c r="F427" s="11">
        <v>1430085.7575757599</v>
      </c>
    </row>
    <row r="428" spans="1:6" x14ac:dyDescent="0.3">
      <c r="A428" s="2" t="s">
        <v>1001</v>
      </c>
      <c r="B428" s="2" t="s">
        <v>574</v>
      </c>
      <c r="C428" s="2" t="s">
        <v>575</v>
      </c>
      <c r="D428" s="2" t="s">
        <v>576</v>
      </c>
      <c r="E428" s="11">
        <v>1081523.63636363</v>
      </c>
      <c r="F428" s="11">
        <v>1433512.7272727301</v>
      </c>
    </row>
    <row r="429" spans="1:6" x14ac:dyDescent="0.3">
      <c r="A429" s="2" t="s">
        <v>1002</v>
      </c>
      <c r="B429" s="2" t="s">
        <v>577</v>
      </c>
      <c r="C429" s="2" t="s">
        <v>575</v>
      </c>
      <c r="D429" s="2" t="s">
        <v>578</v>
      </c>
      <c r="E429" s="11">
        <v>1084107.15151515</v>
      </c>
      <c r="F429" s="11">
        <v>1436939.6969697</v>
      </c>
    </row>
    <row r="430" spans="1:6" x14ac:dyDescent="0.3">
      <c r="A430" s="2" t="s">
        <v>1003</v>
      </c>
      <c r="B430" s="2" t="s">
        <v>579</v>
      </c>
      <c r="C430" s="2" t="s">
        <v>580</v>
      </c>
      <c r="D430" s="2" t="s">
        <v>581</v>
      </c>
      <c r="E430" s="11">
        <v>1086690.66666667</v>
      </c>
      <c r="F430" s="11">
        <v>1440366.66666667</v>
      </c>
    </row>
    <row r="431" spans="1:6" x14ac:dyDescent="0.3">
      <c r="A431" s="2" t="s">
        <v>1004</v>
      </c>
      <c r="B431" s="2" t="s">
        <v>582</v>
      </c>
      <c r="C431" s="2" t="s">
        <v>583</v>
      </c>
      <c r="D431" s="2" t="s">
        <v>584</v>
      </c>
      <c r="E431" s="11">
        <v>1089274.18181818</v>
      </c>
      <c r="F431" s="11">
        <v>1443793.63636364</v>
      </c>
    </row>
    <row r="432" spans="1:6" x14ac:dyDescent="0.3">
      <c r="A432" s="2" t="s">
        <v>1005</v>
      </c>
      <c r="B432" s="2" t="s">
        <v>559</v>
      </c>
      <c r="C432" s="2" t="s">
        <v>560</v>
      </c>
      <c r="D432" s="2" t="s">
        <v>561</v>
      </c>
      <c r="E432" s="11">
        <v>1091857.6969697</v>
      </c>
      <c r="F432" s="11">
        <v>1447220.6060606099</v>
      </c>
    </row>
    <row r="433" spans="1:6" x14ac:dyDescent="0.3">
      <c r="A433" s="2" t="s">
        <v>1006</v>
      </c>
      <c r="B433" s="2" t="s">
        <v>562</v>
      </c>
      <c r="C433" s="2" t="s">
        <v>560</v>
      </c>
      <c r="D433" s="2" t="s">
        <v>563</v>
      </c>
      <c r="E433" s="11">
        <v>1094441.2121212101</v>
      </c>
      <c r="F433" s="11">
        <v>1450647.5757575801</v>
      </c>
    </row>
    <row r="434" spans="1:6" x14ac:dyDescent="0.3">
      <c r="A434" s="2" t="s">
        <v>1007</v>
      </c>
      <c r="B434" s="2" t="s">
        <v>564</v>
      </c>
      <c r="C434" s="2" t="s">
        <v>560</v>
      </c>
      <c r="D434" s="2" t="s">
        <v>565</v>
      </c>
      <c r="E434" s="11">
        <v>1097024.7272727301</v>
      </c>
      <c r="F434" s="11">
        <v>1454074.5454545501</v>
      </c>
    </row>
    <row r="435" spans="1:6" x14ac:dyDescent="0.3">
      <c r="A435" s="2" t="s">
        <v>1008</v>
      </c>
      <c r="B435" s="2" t="s">
        <v>566</v>
      </c>
      <c r="C435" s="2" t="s">
        <v>567</v>
      </c>
      <c r="D435" s="2" t="s">
        <v>568</v>
      </c>
      <c r="E435" s="11">
        <v>1099608.2424242401</v>
      </c>
      <c r="F435" s="11">
        <v>1457501.51515152</v>
      </c>
    </row>
    <row r="436" spans="1:6" x14ac:dyDescent="0.3">
      <c r="A436" s="2" t="s">
        <v>1009</v>
      </c>
      <c r="B436" s="2" t="s">
        <v>569</v>
      </c>
      <c r="C436" s="2" t="s">
        <v>567</v>
      </c>
      <c r="D436" s="2" t="s">
        <v>570</v>
      </c>
      <c r="E436" s="11">
        <v>1102191.7575757599</v>
      </c>
      <c r="F436" s="11">
        <v>1460928.48484849</v>
      </c>
    </row>
    <row r="437" spans="1:6" x14ac:dyDescent="0.3">
      <c r="A437" s="2" t="s">
        <v>1010</v>
      </c>
      <c r="B437" s="2" t="s">
        <v>571</v>
      </c>
      <c r="C437" s="2" t="s">
        <v>572</v>
      </c>
      <c r="D437" s="2" t="s">
        <v>573</v>
      </c>
      <c r="E437" s="11">
        <v>1104775.2727272699</v>
      </c>
      <c r="F437" s="11">
        <v>1464355.4545454599</v>
      </c>
    </row>
    <row r="438" spans="1:6" x14ac:dyDescent="0.3">
      <c r="A438" s="2" t="s">
        <v>1011</v>
      </c>
      <c r="B438" s="2" t="s">
        <v>574</v>
      </c>
      <c r="C438" s="2" t="s">
        <v>575</v>
      </c>
      <c r="D438" s="2" t="s">
        <v>576</v>
      </c>
      <c r="E438" s="11">
        <v>1107358.7878787899</v>
      </c>
      <c r="F438" s="11">
        <v>1467782.4242424299</v>
      </c>
    </row>
    <row r="439" spans="1:6" x14ac:dyDescent="0.3">
      <c r="A439" s="2" t="s">
        <v>1012</v>
      </c>
      <c r="B439" s="2" t="s">
        <v>577</v>
      </c>
      <c r="C439" s="2" t="s">
        <v>575</v>
      </c>
      <c r="D439" s="2" t="s">
        <v>578</v>
      </c>
      <c r="E439" s="11">
        <v>1109942.3030303</v>
      </c>
      <c r="F439" s="11">
        <v>1471209.3939394001</v>
      </c>
    </row>
    <row r="440" spans="1:6" x14ac:dyDescent="0.3">
      <c r="A440" s="2" t="s">
        <v>1013</v>
      </c>
      <c r="B440" s="2" t="s">
        <v>579</v>
      </c>
      <c r="C440" s="2" t="s">
        <v>580</v>
      </c>
      <c r="D440" s="2" t="s">
        <v>581</v>
      </c>
      <c r="E440" s="11">
        <v>1112525.81818182</v>
      </c>
      <c r="F440" s="11">
        <v>1474636.36363637</v>
      </c>
    </row>
    <row r="441" spans="1:6" x14ac:dyDescent="0.3">
      <c r="A441" s="2" t="s">
        <v>1014</v>
      </c>
      <c r="B441" s="2" t="s">
        <v>582</v>
      </c>
      <c r="C441" s="2" t="s">
        <v>583</v>
      </c>
      <c r="D441" s="2" t="s">
        <v>584</v>
      </c>
      <c r="E441" s="11">
        <v>1115109.33333333</v>
      </c>
      <c r="F441" s="11">
        <v>1478063.33333334</v>
      </c>
    </row>
    <row r="442" spans="1:6" x14ac:dyDescent="0.3">
      <c r="A442" s="2" t="s">
        <v>1015</v>
      </c>
      <c r="B442" s="2" t="s">
        <v>559</v>
      </c>
      <c r="C442" s="2" t="s">
        <v>560</v>
      </c>
      <c r="D442" s="2" t="s">
        <v>561</v>
      </c>
      <c r="E442" s="11">
        <v>1117692.84848485</v>
      </c>
      <c r="F442" s="11">
        <v>1481490.30303031</v>
      </c>
    </row>
    <row r="443" spans="1:6" x14ac:dyDescent="0.3">
      <c r="A443" s="2" t="s">
        <v>1016</v>
      </c>
      <c r="B443" s="2" t="s">
        <v>562</v>
      </c>
      <c r="C443" s="2" t="s">
        <v>560</v>
      </c>
      <c r="D443" s="2" t="s">
        <v>563</v>
      </c>
      <c r="E443" s="11">
        <v>1120276.36363636</v>
      </c>
      <c r="F443" s="11">
        <v>1484917.2727272799</v>
      </c>
    </row>
    <row r="444" spans="1:6" x14ac:dyDescent="0.3">
      <c r="A444" s="2" t="s">
        <v>1017</v>
      </c>
      <c r="B444" s="2" t="s">
        <v>564</v>
      </c>
      <c r="C444" s="2" t="s">
        <v>560</v>
      </c>
      <c r="D444" s="2" t="s">
        <v>565</v>
      </c>
      <c r="E444" s="11">
        <v>1122859.8787878801</v>
      </c>
      <c r="F444" s="11">
        <v>1488344.2424242501</v>
      </c>
    </row>
    <row r="445" spans="1:6" x14ac:dyDescent="0.3">
      <c r="A445" s="2" t="s">
        <v>1018</v>
      </c>
      <c r="B445" s="2" t="s">
        <v>566</v>
      </c>
      <c r="C445" s="2" t="s">
        <v>567</v>
      </c>
      <c r="D445" s="2" t="s">
        <v>568</v>
      </c>
      <c r="E445" s="11">
        <v>1125443.3939393901</v>
      </c>
      <c r="F445" s="11">
        <v>1491771.2121212201</v>
      </c>
    </row>
    <row r="446" spans="1:6" x14ac:dyDescent="0.3">
      <c r="A446" s="2" t="s">
        <v>1019</v>
      </c>
      <c r="B446" s="2" t="s">
        <v>569</v>
      </c>
      <c r="C446" s="2" t="s">
        <v>567</v>
      </c>
      <c r="D446" s="2" t="s">
        <v>570</v>
      </c>
      <c r="E446" s="11">
        <v>1128026.9090909101</v>
      </c>
      <c r="F446" s="11">
        <v>1495198.18181819</v>
      </c>
    </row>
    <row r="447" spans="1:6" x14ac:dyDescent="0.3">
      <c r="A447" s="2" t="s">
        <v>1020</v>
      </c>
      <c r="B447" s="2" t="s">
        <v>571</v>
      </c>
      <c r="C447" s="2" t="s">
        <v>572</v>
      </c>
      <c r="D447" s="2" t="s">
        <v>573</v>
      </c>
      <c r="E447" s="11">
        <v>1130610.4242424199</v>
      </c>
      <c r="F447" s="11">
        <v>1498625.15151516</v>
      </c>
    </row>
    <row r="448" spans="1:6" x14ac:dyDescent="0.3">
      <c r="A448" s="2" t="s">
        <v>1021</v>
      </c>
      <c r="B448" s="2" t="s">
        <v>574</v>
      </c>
      <c r="C448" s="2" t="s">
        <v>575</v>
      </c>
      <c r="D448" s="2" t="s">
        <v>576</v>
      </c>
      <c r="E448" s="11">
        <v>1133193.9393939399</v>
      </c>
      <c r="F448" s="11">
        <v>1502052.1212121299</v>
      </c>
    </row>
    <row r="449" spans="1:6" x14ac:dyDescent="0.3">
      <c r="A449" s="2" t="s">
        <v>1022</v>
      </c>
      <c r="B449" s="2" t="s">
        <v>577</v>
      </c>
      <c r="C449" s="2" t="s">
        <v>575</v>
      </c>
      <c r="D449" s="2" t="s">
        <v>578</v>
      </c>
      <c r="E449" s="11">
        <v>1135777.4545454499</v>
      </c>
      <c r="F449" s="11">
        <v>1505479.0909090899</v>
      </c>
    </row>
    <row r="450" spans="1:6" x14ac:dyDescent="0.3">
      <c r="A450" s="2" t="s">
        <v>1023</v>
      </c>
      <c r="B450" s="2" t="s">
        <v>579</v>
      </c>
      <c r="C450" s="2" t="s">
        <v>580</v>
      </c>
      <c r="D450" s="2" t="s">
        <v>581</v>
      </c>
      <c r="E450" s="11">
        <v>1138360.96969697</v>
      </c>
      <c r="F450" s="11">
        <v>1508906.0606060601</v>
      </c>
    </row>
    <row r="451" spans="1:6" x14ac:dyDescent="0.3">
      <c r="A451" s="2" t="s">
        <v>1024</v>
      </c>
      <c r="B451" s="2" t="s">
        <v>582</v>
      </c>
      <c r="C451" s="2" t="s">
        <v>583</v>
      </c>
      <c r="D451" s="2" t="s">
        <v>584</v>
      </c>
      <c r="E451" s="11">
        <v>1140944.48484848</v>
      </c>
      <c r="F451" s="11">
        <v>1512333.03030303</v>
      </c>
    </row>
    <row r="452" spans="1:6" x14ac:dyDescent="0.3">
      <c r="A452" s="2" t="s">
        <v>1025</v>
      </c>
      <c r="B452" s="2" t="s">
        <v>559</v>
      </c>
      <c r="C452" s="2" t="s">
        <v>560</v>
      </c>
      <c r="D452" s="2" t="s">
        <v>561</v>
      </c>
      <c r="E452" s="11">
        <v>1143528</v>
      </c>
      <c r="F452" s="11">
        <v>1515760</v>
      </c>
    </row>
    <row r="453" spans="1:6" x14ac:dyDescent="0.3">
      <c r="A453" s="2" t="s">
        <v>1026</v>
      </c>
      <c r="B453" s="2" t="s">
        <v>562</v>
      </c>
      <c r="C453" s="2" t="s">
        <v>560</v>
      </c>
      <c r="D453" s="2" t="s">
        <v>563</v>
      </c>
      <c r="E453" s="11">
        <v>1146111.51515151</v>
      </c>
      <c r="F453" s="11">
        <v>1519186.96969697</v>
      </c>
    </row>
    <row r="454" spans="1:6" x14ac:dyDescent="0.3">
      <c r="A454" s="2" t="s">
        <v>1027</v>
      </c>
      <c r="B454" s="2" t="s">
        <v>564</v>
      </c>
      <c r="C454" s="2" t="s">
        <v>560</v>
      </c>
      <c r="D454" s="2" t="s">
        <v>565</v>
      </c>
      <c r="E454" s="11">
        <v>1148695.03030303</v>
      </c>
      <c r="F454" s="11">
        <v>1522613.9393939399</v>
      </c>
    </row>
    <row r="455" spans="1:6" x14ac:dyDescent="0.3">
      <c r="A455" s="2" t="s">
        <v>1028</v>
      </c>
      <c r="B455" s="2" t="s">
        <v>566</v>
      </c>
      <c r="C455" s="2" t="s">
        <v>567</v>
      </c>
      <c r="D455" s="2" t="s">
        <v>568</v>
      </c>
      <c r="E455" s="11">
        <v>1151278.5454545401</v>
      </c>
      <c r="F455" s="11">
        <v>1526040.9090909101</v>
      </c>
    </row>
    <row r="456" spans="1:6" x14ac:dyDescent="0.3">
      <c r="A456" s="2" t="s">
        <v>1029</v>
      </c>
      <c r="B456" s="2" t="s">
        <v>569</v>
      </c>
      <c r="C456" s="2" t="s">
        <v>567</v>
      </c>
      <c r="D456" s="2" t="s">
        <v>570</v>
      </c>
      <c r="E456" s="11">
        <v>1153862.0606060601</v>
      </c>
      <c r="F456" s="11">
        <v>1529467.8787878801</v>
      </c>
    </row>
    <row r="457" spans="1:6" x14ac:dyDescent="0.3">
      <c r="A457" s="2" t="s">
        <v>1030</v>
      </c>
      <c r="B457" s="2" t="s">
        <v>571</v>
      </c>
      <c r="C457" s="2" t="s">
        <v>572</v>
      </c>
      <c r="D457" s="2" t="s">
        <v>573</v>
      </c>
      <c r="E457" s="11">
        <v>1156445.5757575701</v>
      </c>
      <c r="F457" s="11">
        <v>1532894.84848485</v>
      </c>
    </row>
    <row r="458" spans="1:6" x14ac:dyDescent="0.3">
      <c r="A458" s="2" t="s">
        <v>1031</v>
      </c>
      <c r="B458" s="2" t="s">
        <v>574</v>
      </c>
      <c r="C458" s="2" t="s">
        <v>575</v>
      </c>
      <c r="D458" s="2" t="s">
        <v>576</v>
      </c>
      <c r="E458" s="11">
        <v>1159029.0909090899</v>
      </c>
      <c r="F458" s="11">
        <v>1536321.81818182</v>
      </c>
    </row>
    <row r="459" spans="1:6" x14ac:dyDescent="0.3">
      <c r="A459" s="2" t="s">
        <v>1032</v>
      </c>
      <c r="B459" s="2" t="s">
        <v>577</v>
      </c>
      <c r="C459" s="2" t="s">
        <v>575</v>
      </c>
      <c r="D459" s="2" t="s">
        <v>578</v>
      </c>
      <c r="E459" s="11">
        <v>1161612.6060605999</v>
      </c>
      <c r="F459" s="11">
        <v>1539748.7878787899</v>
      </c>
    </row>
    <row r="460" spans="1:6" x14ac:dyDescent="0.3">
      <c r="A460" s="2" t="s">
        <v>1033</v>
      </c>
      <c r="B460" s="2" t="s">
        <v>579</v>
      </c>
      <c r="C460" s="2" t="s">
        <v>580</v>
      </c>
      <c r="D460" s="2" t="s">
        <v>581</v>
      </c>
      <c r="E460" s="11">
        <v>1164196.1212121199</v>
      </c>
      <c r="F460" s="11">
        <v>1543175.7575757599</v>
      </c>
    </row>
    <row r="461" spans="1:6" x14ac:dyDescent="0.3">
      <c r="A461" s="2" t="s">
        <v>1034</v>
      </c>
      <c r="B461" s="2" t="s">
        <v>582</v>
      </c>
      <c r="C461" s="2" t="s">
        <v>583</v>
      </c>
      <c r="D461" s="2" t="s">
        <v>584</v>
      </c>
      <c r="E461" s="11">
        <v>1166779.63636363</v>
      </c>
      <c r="F461" s="11">
        <v>1546602.7272727301</v>
      </c>
    </row>
    <row r="462" spans="1:6" x14ac:dyDescent="0.3">
      <c r="A462" s="2" t="s">
        <v>1035</v>
      </c>
      <c r="B462" s="2" t="s">
        <v>559</v>
      </c>
      <c r="C462" s="2" t="s">
        <v>560</v>
      </c>
      <c r="D462" s="2" t="s">
        <v>561</v>
      </c>
      <c r="E462" s="11">
        <v>1169363.15151515</v>
      </c>
      <c r="F462" s="11">
        <v>1550029.6969697</v>
      </c>
    </row>
    <row r="463" spans="1:6" x14ac:dyDescent="0.3">
      <c r="A463" s="2" t="s">
        <v>1036</v>
      </c>
      <c r="B463" s="2" t="s">
        <v>562</v>
      </c>
      <c r="C463" s="2" t="s">
        <v>560</v>
      </c>
      <c r="D463" s="2" t="s">
        <v>563</v>
      </c>
      <c r="E463" s="11">
        <v>1171946.66666667</v>
      </c>
      <c r="F463" s="11">
        <v>1553456.66666667</v>
      </c>
    </row>
    <row r="464" spans="1:6" x14ac:dyDescent="0.3">
      <c r="A464" s="2" t="s">
        <v>1037</v>
      </c>
      <c r="B464" s="2" t="s">
        <v>564</v>
      </c>
      <c r="C464" s="2" t="s">
        <v>560</v>
      </c>
      <c r="D464" s="2" t="s">
        <v>565</v>
      </c>
      <c r="E464" s="11">
        <v>1174530.18181818</v>
      </c>
      <c r="F464" s="11">
        <v>1556883.63636364</v>
      </c>
    </row>
    <row r="465" spans="1:6" x14ac:dyDescent="0.3">
      <c r="A465" s="2" t="s">
        <v>1038</v>
      </c>
      <c r="B465" s="2" t="s">
        <v>566</v>
      </c>
      <c r="C465" s="2" t="s">
        <v>567</v>
      </c>
      <c r="D465" s="2" t="s">
        <v>568</v>
      </c>
      <c r="E465" s="11">
        <v>1177113.6969697</v>
      </c>
      <c r="F465" s="11">
        <v>1560310.6060606099</v>
      </c>
    </row>
    <row r="466" spans="1:6" x14ac:dyDescent="0.3">
      <c r="A466" s="2" t="s">
        <v>1039</v>
      </c>
      <c r="B466" s="2" t="s">
        <v>569</v>
      </c>
      <c r="C466" s="2" t="s">
        <v>567</v>
      </c>
      <c r="D466" s="2" t="s">
        <v>570</v>
      </c>
      <c r="E466" s="11">
        <v>1179697.2121212101</v>
      </c>
      <c r="F466" s="11">
        <v>1563737.5757575801</v>
      </c>
    </row>
    <row r="467" spans="1:6" x14ac:dyDescent="0.3">
      <c r="A467" s="2" t="s">
        <v>1040</v>
      </c>
      <c r="B467" s="2" t="s">
        <v>571</v>
      </c>
      <c r="C467" s="2" t="s">
        <v>572</v>
      </c>
      <c r="D467" s="2" t="s">
        <v>573</v>
      </c>
      <c r="E467" s="11">
        <v>1182280.7272727301</v>
      </c>
      <c r="F467" s="11">
        <v>1567164.5454545501</v>
      </c>
    </row>
    <row r="468" spans="1:6" x14ac:dyDescent="0.3">
      <c r="A468" s="2" t="s">
        <v>1041</v>
      </c>
      <c r="B468" s="2" t="s">
        <v>574</v>
      </c>
      <c r="C468" s="2" t="s">
        <v>575</v>
      </c>
      <c r="D468" s="2" t="s">
        <v>576</v>
      </c>
      <c r="E468" s="11">
        <v>1184864.2424242401</v>
      </c>
      <c r="F468" s="11">
        <v>1570591.51515152</v>
      </c>
    </row>
    <row r="469" spans="1:6" x14ac:dyDescent="0.3">
      <c r="A469" s="2" t="s">
        <v>1042</v>
      </c>
      <c r="B469" s="2" t="s">
        <v>577</v>
      </c>
      <c r="C469" s="2" t="s">
        <v>575</v>
      </c>
      <c r="D469" s="2" t="s">
        <v>578</v>
      </c>
      <c r="E469" s="11">
        <v>1187447.7575757599</v>
      </c>
      <c r="F469" s="11">
        <v>1574018.48484849</v>
      </c>
    </row>
    <row r="470" spans="1:6" x14ac:dyDescent="0.3">
      <c r="A470" s="2" t="s">
        <v>1043</v>
      </c>
      <c r="B470" s="2" t="s">
        <v>579</v>
      </c>
      <c r="C470" s="2" t="s">
        <v>580</v>
      </c>
      <c r="D470" s="2" t="s">
        <v>581</v>
      </c>
      <c r="E470" s="11">
        <v>1190031.2727272699</v>
      </c>
      <c r="F470" s="11">
        <v>1577445.4545454599</v>
      </c>
    </row>
    <row r="471" spans="1:6" x14ac:dyDescent="0.3">
      <c r="A471" s="2" t="s">
        <v>1044</v>
      </c>
      <c r="B471" s="2" t="s">
        <v>582</v>
      </c>
      <c r="C471" s="2" t="s">
        <v>583</v>
      </c>
      <c r="D471" s="2" t="s">
        <v>584</v>
      </c>
      <c r="E471" s="11">
        <v>1192614.7878787899</v>
      </c>
      <c r="F471" s="11">
        <v>1580872.4242424299</v>
      </c>
    </row>
    <row r="472" spans="1:6" x14ac:dyDescent="0.3">
      <c r="A472" s="2" t="s">
        <v>1045</v>
      </c>
      <c r="B472" s="2" t="s">
        <v>559</v>
      </c>
      <c r="C472" s="2" t="s">
        <v>560</v>
      </c>
      <c r="D472" s="2" t="s">
        <v>561</v>
      </c>
      <c r="E472" s="11">
        <v>1195198.3030303</v>
      </c>
      <c r="F472" s="11">
        <v>1584299.3939394001</v>
      </c>
    </row>
    <row r="473" spans="1:6" x14ac:dyDescent="0.3">
      <c r="A473" s="2" t="s">
        <v>1046</v>
      </c>
      <c r="B473" s="2" t="s">
        <v>562</v>
      </c>
      <c r="C473" s="2" t="s">
        <v>560</v>
      </c>
      <c r="D473" s="2" t="s">
        <v>563</v>
      </c>
      <c r="E473" s="11">
        <v>1197781.81818182</v>
      </c>
      <c r="F473" s="11">
        <v>1587726.36363637</v>
      </c>
    </row>
    <row r="474" spans="1:6" x14ac:dyDescent="0.3">
      <c r="A474" s="2" t="s">
        <v>1047</v>
      </c>
      <c r="B474" s="2" t="s">
        <v>564</v>
      </c>
      <c r="C474" s="2" t="s">
        <v>560</v>
      </c>
      <c r="D474" s="2" t="s">
        <v>565</v>
      </c>
      <c r="E474" s="11">
        <v>1200365.33333333</v>
      </c>
      <c r="F474" s="11">
        <v>1591153.33333334</v>
      </c>
    </row>
    <row r="475" spans="1:6" x14ac:dyDescent="0.3">
      <c r="A475" s="2" t="s">
        <v>1048</v>
      </c>
      <c r="B475" s="2" t="s">
        <v>566</v>
      </c>
      <c r="C475" s="2" t="s">
        <v>567</v>
      </c>
      <c r="D475" s="2" t="s">
        <v>568</v>
      </c>
      <c r="E475" s="11">
        <v>1202948.84848485</v>
      </c>
      <c r="F475" s="11">
        <v>1594580.30303031</v>
      </c>
    </row>
    <row r="476" spans="1:6" x14ac:dyDescent="0.3">
      <c r="A476" s="2" t="s">
        <v>1049</v>
      </c>
      <c r="B476" s="2" t="s">
        <v>569</v>
      </c>
      <c r="C476" s="2" t="s">
        <v>567</v>
      </c>
      <c r="D476" s="2" t="s">
        <v>570</v>
      </c>
      <c r="E476" s="11">
        <v>1205532.36363636</v>
      </c>
      <c r="F476" s="11">
        <v>1598007.2727272799</v>
      </c>
    </row>
    <row r="477" spans="1:6" x14ac:dyDescent="0.3">
      <c r="A477" s="2" t="s">
        <v>1050</v>
      </c>
      <c r="B477" s="2" t="s">
        <v>571</v>
      </c>
      <c r="C477" s="2" t="s">
        <v>572</v>
      </c>
      <c r="D477" s="2" t="s">
        <v>573</v>
      </c>
      <c r="E477" s="11">
        <v>1208115.8787878801</v>
      </c>
      <c r="F477" s="11">
        <v>1601434.2424242501</v>
      </c>
    </row>
    <row r="478" spans="1:6" x14ac:dyDescent="0.3">
      <c r="A478" s="2" t="s">
        <v>1051</v>
      </c>
      <c r="B478" s="2" t="s">
        <v>574</v>
      </c>
      <c r="C478" s="2" t="s">
        <v>575</v>
      </c>
      <c r="D478" s="2" t="s">
        <v>576</v>
      </c>
      <c r="E478" s="11">
        <v>1210699.3939393901</v>
      </c>
      <c r="F478" s="11">
        <v>1604861.2121212201</v>
      </c>
    </row>
    <row r="479" spans="1:6" x14ac:dyDescent="0.3">
      <c r="A479" s="2" t="s">
        <v>1052</v>
      </c>
      <c r="B479" s="2" t="s">
        <v>577</v>
      </c>
      <c r="C479" s="2" t="s">
        <v>575</v>
      </c>
      <c r="D479" s="2" t="s">
        <v>578</v>
      </c>
      <c r="E479" s="11">
        <v>1213282.9090909101</v>
      </c>
      <c r="F479" s="11">
        <v>1608288.18181819</v>
      </c>
    </row>
    <row r="480" spans="1:6" x14ac:dyDescent="0.3">
      <c r="A480" s="2" t="s">
        <v>1053</v>
      </c>
      <c r="B480" s="2" t="s">
        <v>579</v>
      </c>
      <c r="C480" s="2" t="s">
        <v>580</v>
      </c>
      <c r="D480" s="2" t="s">
        <v>581</v>
      </c>
      <c r="E480" s="11">
        <v>1215866.4242424199</v>
      </c>
      <c r="F480" s="11">
        <v>1611715.15151516</v>
      </c>
    </row>
    <row r="481" spans="1:6" x14ac:dyDescent="0.3">
      <c r="A481" s="2" t="s">
        <v>1054</v>
      </c>
      <c r="B481" s="2" t="s">
        <v>582</v>
      </c>
      <c r="C481" s="2" t="s">
        <v>583</v>
      </c>
      <c r="D481" s="2" t="s">
        <v>584</v>
      </c>
      <c r="E481" s="11">
        <v>1218449.9393939399</v>
      </c>
      <c r="F481" s="11">
        <v>1615142.1212121299</v>
      </c>
    </row>
    <row r="482" spans="1:6" x14ac:dyDescent="0.3">
      <c r="A482" s="2" t="s">
        <v>1055</v>
      </c>
      <c r="B482" s="2" t="s">
        <v>559</v>
      </c>
      <c r="C482" s="2" t="s">
        <v>560</v>
      </c>
      <c r="D482" s="2" t="s">
        <v>561</v>
      </c>
      <c r="E482" s="11">
        <v>1221033.4545454499</v>
      </c>
      <c r="F482" s="11">
        <v>1618569.0909090899</v>
      </c>
    </row>
    <row r="483" spans="1:6" x14ac:dyDescent="0.3">
      <c r="A483" s="2" t="s">
        <v>1056</v>
      </c>
      <c r="B483" s="2" t="s">
        <v>562</v>
      </c>
      <c r="C483" s="2" t="s">
        <v>560</v>
      </c>
      <c r="D483" s="2" t="s">
        <v>563</v>
      </c>
      <c r="E483" s="11">
        <v>1223616.96969697</v>
      </c>
      <c r="F483" s="11">
        <v>1621996.0606060601</v>
      </c>
    </row>
    <row r="484" spans="1:6" x14ac:dyDescent="0.3">
      <c r="A484" s="2" t="s">
        <v>1057</v>
      </c>
      <c r="B484" s="2" t="s">
        <v>564</v>
      </c>
      <c r="C484" s="2" t="s">
        <v>560</v>
      </c>
      <c r="D484" s="2" t="s">
        <v>565</v>
      </c>
      <c r="E484" s="11">
        <v>1226200.48484848</v>
      </c>
      <c r="F484" s="11">
        <v>1625423.03030303</v>
      </c>
    </row>
    <row r="485" spans="1:6" x14ac:dyDescent="0.3">
      <c r="A485" s="2" t="s">
        <v>1058</v>
      </c>
      <c r="B485" s="2" t="s">
        <v>566</v>
      </c>
      <c r="C485" s="2" t="s">
        <v>567</v>
      </c>
      <c r="D485" s="2" t="s">
        <v>568</v>
      </c>
      <c r="E485" s="11">
        <v>1228784</v>
      </c>
      <c r="F485" s="11">
        <v>1628850</v>
      </c>
    </row>
    <row r="486" spans="1:6" x14ac:dyDescent="0.3">
      <c r="A486" s="2" t="s">
        <v>1059</v>
      </c>
      <c r="B486" s="2" t="s">
        <v>569</v>
      </c>
      <c r="C486" s="2" t="s">
        <v>567</v>
      </c>
      <c r="D486" s="2" t="s">
        <v>570</v>
      </c>
      <c r="E486" s="11">
        <v>1231367.51515151</v>
      </c>
      <c r="F486" s="11">
        <v>1632276.96969697</v>
      </c>
    </row>
    <row r="487" spans="1:6" x14ac:dyDescent="0.3">
      <c r="A487" s="2" t="s">
        <v>1060</v>
      </c>
      <c r="B487" s="2" t="s">
        <v>571</v>
      </c>
      <c r="C487" s="2" t="s">
        <v>572</v>
      </c>
      <c r="D487" s="2" t="s">
        <v>573</v>
      </c>
      <c r="E487" s="11">
        <v>1233951.03030303</v>
      </c>
      <c r="F487" s="11">
        <v>1635703.9393939399</v>
      </c>
    </row>
    <row r="488" spans="1:6" x14ac:dyDescent="0.3">
      <c r="A488" s="2" t="s">
        <v>1061</v>
      </c>
      <c r="B488" s="2" t="s">
        <v>574</v>
      </c>
      <c r="C488" s="2" t="s">
        <v>575</v>
      </c>
      <c r="D488" s="2" t="s">
        <v>576</v>
      </c>
      <c r="E488" s="11">
        <v>1236534.5454545401</v>
      </c>
      <c r="F488" s="11">
        <v>1639130.9090909101</v>
      </c>
    </row>
    <row r="489" spans="1:6" x14ac:dyDescent="0.3">
      <c r="A489" s="2" t="s">
        <v>1062</v>
      </c>
      <c r="B489" s="2" t="s">
        <v>577</v>
      </c>
      <c r="C489" s="2" t="s">
        <v>575</v>
      </c>
      <c r="D489" s="2" t="s">
        <v>578</v>
      </c>
      <c r="E489" s="11">
        <v>1239118.0606060601</v>
      </c>
      <c r="F489" s="11">
        <v>1642557.8787878801</v>
      </c>
    </row>
    <row r="490" spans="1:6" x14ac:dyDescent="0.3">
      <c r="A490" s="2" t="s">
        <v>1063</v>
      </c>
      <c r="B490" s="2" t="s">
        <v>579</v>
      </c>
      <c r="C490" s="2" t="s">
        <v>580</v>
      </c>
      <c r="D490" s="2" t="s">
        <v>581</v>
      </c>
      <c r="E490" s="11">
        <v>1241701.5757575701</v>
      </c>
      <c r="F490" s="11">
        <v>1645984.84848485</v>
      </c>
    </row>
    <row r="491" spans="1:6" x14ac:dyDescent="0.3">
      <c r="A491" s="2" t="s">
        <v>1064</v>
      </c>
      <c r="B491" s="2" t="s">
        <v>582</v>
      </c>
      <c r="C491" s="2" t="s">
        <v>583</v>
      </c>
      <c r="D491" s="2" t="s">
        <v>584</v>
      </c>
      <c r="E491" s="11">
        <v>1244285.0909090899</v>
      </c>
      <c r="F491" s="11">
        <v>1649411.81818182</v>
      </c>
    </row>
    <row r="492" spans="1:6" x14ac:dyDescent="0.3">
      <c r="A492" s="2" t="s">
        <v>1065</v>
      </c>
      <c r="B492" s="2" t="s">
        <v>559</v>
      </c>
      <c r="C492" s="2" t="s">
        <v>560</v>
      </c>
      <c r="D492" s="2" t="s">
        <v>561</v>
      </c>
      <c r="E492" s="11">
        <v>1246868.6060605999</v>
      </c>
      <c r="F492" s="11">
        <v>1652838.7878787899</v>
      </c>
    </row>
    <row r="493" spans="1:6" x14ac:dyDescent="0.3">
      <c r="A493" s="2" t="s">
        <v>1066</v>
      </c>
      <c r="B493" s="2" t="s">
        <v>562</v>
      </c>
      <c r="C493" s="2" t="s">
        <v>560</v>
      </c>
      <c r="D493" s="2" t="s">
        <v>563</v>
      </c>
      <c r="E493" s="11">
        <v>1249452.1212121199</v>
      </c>
      <c r="F493" s="11">
        <v>1656265.7575757599</v>
      </c>
    </row>
    <row r="494" spans="1:6" x14ac:dyDescent="0.3">
      <c r="A494" s="2" t="s">
        <v>1067</v>
      </c>
      <c r="B494" s="2" t="s">
        <v>564</v>
      </c>
      <c r="C494" s="2" t="s">
        <v>560</v>
      </c>
      <c r="D494" s="2" t="s">
        <v>565</v>
      </c>
      <c r="E494" s="11">
        <v>1252035.63636363</v>
      </c>
      <c r="F494" s="11">
        <v>1659692.7272727301</v>
      </c>
    </row>
    <row r="495" spans="1:6" x14ac:dyDescent="0.3">
      <c r="A495" s="2" t="s">
        <v>1068</v>
      </c>
      <c r="B495" s="2" t="s">
        <v>566</v>
      </c>
      <c r="C495" s="2" t="s">
        <v>567</v>
      </c>
      <c r="D495" s="2" t="s">
        <v>568</v>
      </c>
      <c r="E495" s="11">
        <v>1254619.15151515</v>
      </c>
      <c r="F495" s="11">
        <v>1663119.6969697</v>
      </c>
    </row>
    <row r="496" spans="1:6" x14ac:dyDescent="0.3">
      <c r="A496" s="2" t="s">
        <v>1069</v>
      </c>
      <c r="B496" s="2" t="s">
        <v>569</v>
      </c>
      <c r="C496" s="2" t="s">
        <v>567</v>
      </c>
      <c r="D496" s="2" t="s">
        <v>570</v>
      </c>
      <c r="E496" s="11">
        <v>1257202.66666667</v>
      </c>
      <c r="F496" s="11">
        <v>1666546.66666667</v>
      </c>
    </row>
    <row r="497" spans="1:6" x14ac:dyDescent="0.3">
      <c r="A497" s="2" t="s">
        <v>1070</v>
      </c>
      <c r="B497" s="2" t="s">
        <v>571</v>
      </c>
      <c r="C497" s="2" t="s">
        <v>572</v>
      </c>
      <c r="D497" s="2" t="s">
        <v>573</v>
      </c>
      <c r="E497" s="11">
        <v>1259786.18181818</v>
      </c>
      <c r="F497" s="11">
        <v>1669973.63636364</v>
      </c>
    </row>
    <row r="498" spans="1:6" x14ac:dyDescent="0.3">
      <c r="A498" s="2" t="s">
        <v>1071</v>
      </c>
      <c r="B498" s="2" t="s">
        <v>574</v>
      </c>
      <c r="C498" s="2" t="s">
        <v>575</v>
      </c>
      <c r="D498" s="2" t="s">
        <v>576</v>
      </c>
      <c r="E498" s="11">
        <v>1262369.6969697</v>
      </c>
      <c r="F498" s="11">
        <v>1673400.6060606099</v>
      </c>
    </row>
    <row r="499" spans="1:6" x14ac:dyDescent="0.3">
      <c r="A499" s="2" t="s">
        <v>1072</v>
      </c>
      <c r="B499" s="2" t="s">
        <v>577</v>
      </c>
      <c r="C499" s="2" t="s">
        <v>575</v>
      </c>
      <c r="D499" s="2" t="s">
        <v>578</v>
      </c>
      <c r="E499" s="11">
        <v>1264953.2121212101</v>
      </c>
      <c r="F499" s="11">
        <v>1676827.5757575801</v>
      </c>
    </row>
    <row r="500" spans="1:6" x14ac:dyDescent="0.3">
      <c r="A500" s="2" t="s">
        <v>1073</v>
      </c>
      <c r="B500" s="2" t="s">
        <v>579</v>
      </c>
      <c r="C500" s="2" t="s">
        <v>580</v>
      </c>
      <c r="D500" s="2" t="s">
        <v>581</v>
      </c>
      <c r="E500" s="11">
        <v>1267536.7272727301</v>
      </c>
      <c r="F500" s="11">
        <v>1680254.5454545501</v>
      </c>
    </row>
    <row r="501" spans="1:6" x14ac:dyDescent="0.3">
      <c r="A501" s="2" t="s">
        <v>1074</v>
      </c>
      <c r="B501" s="2" t="s">
        <v>582</v>
      </c>
      <c r="C501" s="2" t="s">
        <v>583</v>
      </c>
      <c r="D501" s="2" t="s">
        <v>584</v>
      </c>
      <c r="E501" s="11">
        <v>1270120.2424242401</v>
      </c>
      <c r="F501" s="11">
        <v>1683681.51515152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3EBA-4133-4336-9D79-555315173CF8}">
  <dimension ref="A1:E501"/>
  <sheetViews>
    <sheetView workbookViewId="0">
      <selection activeCell="C401" sqref="C401"/>
    </sheetView>
  </sheetViews>
  <sheetFormatPr defaultRowHeight="14.4" x14ac:dyDescent="0.3"/>
  <cols>
    <col min="1" max="1" width="11.6640625" bestFit="1" customWidth="1"/>
    <col min="2" max="2" width="14.88671875" bestFit="1" customWidth="1"/>
    <col min="3" max="3" width="6.88671875" bestFit="1" customWidth="1"/>
    <col min="4" max="4" width="4" bestFit="1" customWidth="1"/>
    <col min="5" max="5" width="13.88671875" bestFit="1" customWidth="1"/>
  </cols>
  <sheetData>
    <row r="1" spans="1:5" x14ac:dyDescent="0.3">
      <c r="A1" s="3" t="s">
        <v>2</v>
      </c>
      <c r="B1" s="3" t="s">
        <v>1075</v>
      </c>
      <c r="C1" s="3" t="s">
        <v>1076</v>
      </c>
      <c r="D1" s="3" t="s">
        <v>1077</v>
      </c>
      <c r="E1" s="3" t="s">
        <v>1078</v>
      </c>
    </row>
    <row r="2" spans="1:5" x14ac:dyDescent="0.3">
      <c r="A2" s="2" t="s">
        <v>12</v>
      </c>
      <c r="B2" s="2" t="s">
        <v>1079</v>
      </c>
      <c r="C2" s="2" t="s">
        <v>1080</v>
      </c>
      <c r="D2" s="2">
        <v>24</v>
      </c>
      <c r="E2" s="2" t="s">
        <v>1081</v>
      </c>
    </row>
    <row r="3" spans="1:5" x14ac:dyDescent="0.3">
      <c r="A3" s="2" t="s">
        <v>19</v>
      </c>
      <c r="B3" s="2" t="s">
        <v>1082</v>
      </c>
      <c r="C3" s="2" t="s">
        <v>1083</v>
      </c>
      <c r="D3" s="2">
        <v>28</v>
      </c>
      <c r="E3" s="2" t="s">
        <v>1084</v>
      </c>
    </row>
    <row r="4" spans="1:5" x14ac:dyDescent="0.3">
      <c r="A4" s="2" t="s">
        <v>25</v>
      </c>
      <c r="B4" s="2" t="s">
        <v>1085</v>
      </c>
      <c r="C4" s="2" t="s">
        <v>1086</v>
      </c>
      <c r="D4" s="2">
        <v>25</v>
      </c>
      <c r="E4" s="2" t="s">
        <v>1081</v>
      </c>
    </row>
    <row r="5" spans="1:5" x14ac:dyDescent="0.3">
      <c r="A5" s="2" t="s">
        <v>32</v>
      </c>
      <c r="B5" s="2" t="s">
        <v>1087</v>
      </c>
      <c r="C5" s="2" t="s">
        <v>1086</v>
      </c>
      <c r="D5" s="2">
        <v>31</v>
      </c>
      <c r="E5" s="2" t="s">
        <v>1084</v>
      </c>
    </row>
    <row r="6" spans="1:5" x14ac:dyDescent="0.3">
      <c r="A6" s="2" t="s">
        <v>34</v>
      </c>
      <c r="B6" s="2" t="s">
        <v>1088</v>
      </c>
      <c r="C6" s="2" t="s">
        <v>1083</v>
      </c>
      <c r="D6" s="2">
        <v>26</v>
      </c>
      <c r="E6" s="2" t="s">
        <v>1081</v>
      </c>
    </row>
    <row r="7" spans="1:5" x14ac:dyDescent="0.3">
      <c r="A7" s="2" t="s">
        <v>36</v>
      </c>
      <c r="B7" s="2" t="s">
        <v>1089</v>
      </c>
      <c r="C7" s="2" t="s">
        <v>1086</v>
      </c>
      <c r="D7" s="2">
        <v>29</v>
      </c>
      <c r="E7" s="2" t="s">
        <v>1084</v>
      </c>
    </row>
    <row r="8" spans="1:5" x14ac:dyDescent="0.3">
      <c r="A8" s="2" t="s">
        <v>46</v>
      </c>
      <c r="B8" s="2" t="s">
        <v>1090</v>
      </c>
      <c r="C8" s="2" t="s">
        <v>1083</v>
      </c>
      <c r="D8" s="2">
        <v>35</v>
      </c>
      <c r="E8" s="2" t="s">
        <v>1081</v>
      </c>
    </row>
    <row r="9" spans="1:5" x14ac:dyDescent="0.3">
      <c r="A9" s="2" t="s">
        <v>50</v>
      </c>
      <c r="B9" s="2" t="s">
        <v>1091</v>
      </c>
      <c r="C9" s="2" t="s">
        <v>1086</v>
      </c>
      <c r="D9" s="2">
        <v>27</v>
      </c>
      <c r="E9" s="2" t="s">
        <v>1084</v>
      </c>
    </row>
    <row r="10" spans="1:5" x14ac:dyDescent="0.3">
      <c r="A10" s="2" t="s">
        <v>54</v>
      </c>
      <c r="B10" s="2" t="s">
        <v>1092</v>
      </c>
      <c r="C10" s="2" t="s">
        <v>1083</v>
      </c>
      <c r="D10" s="2">
        <v>32</v>
      </c>
      <c r="E10" s="2" t="s">
        <v>1081</v>
      </c>
    </row>
    <row r="11" spans="1:5" x14ac:dyDescent="0.3">
      <c r="A11" s="2" t="s">
        <v>57</v>
      </c>
      <c r="B11" s="2" t="s">
        <v>1093</v>
      </c>
      <c r="C11" s="2" t="s">
        <v>1086</v>
      </c>
      <c r="D11" s="2">
        <v>24</v>
      </c>
      <c r="E11" s="2" t="s">
        <v>1084</v>
      </c>
    </row>
    <row r="12" spans="1:5" x14ac:dyDescent="0.3">
      <c r="A12" s="2" t="s">
        <v>60</v>
      </c>
      <c r="B12" s="2" t="s">
        <v>1094</v>
      </c>
      <c r="C12" s="2" t="s">
        <v>1083</v>
      </c>
      <c r="D12" s="2">
        <v>30</v>
      </c>
      <c r="E12" s="2" t="s">
        <v>1081</v>
      </c>
    </row>
    <row r="13" spans="1:5" x14ac:dyDescent="0.3">
      <c r="A13" s="2" t="s">
        <v>62</v>
      </c>
      <c r="B13" s="2" t="s">
        <v>1095</v>
      </c>
      <c r="C13" s="2" t="s">
        <v>1086</v>
      </c>
      <c r="D13" s="2">
        <v>26</v>
      </c>
      <c r="E13" s="2" t="s">
        <v>1084</v>
      </c>
    </row>
    <row r="14" spans="1:5" x14ac:dyDescent="0.3">
      <c r="A14" s="2" t="s">
        <v>64</v>
      </c>
      <c r="B14" s="2" t="s">
        <v>1096</v>
      </c>
      <c r="C14" s="2" t="s">
        <v>1083</v>
      </c>
      <c r="D14" s="2">
        <v>29</v>
      </c>
      <c r="E14" s="2" t="s">
        <v>1081</v>
      </c>
    </row>
    <row r="15" spans="1:5" x14ac:dyDescent="0.3">
      <c r="A15" s="2" t="s">
        <v>66</v>
      </c>
      <c r="B15" s="2" t="s">
        <v>1097</v>
      </c>
      <c r="C15" s="2" t="s">
        <v>1086</v>
      </c>
      <c r="D15" s="2">
        <v>33</v>
      </c>
      <c r="E15" s="2" t="s">
        <v>1084</v>
      </c>
    </row>
    <row r="16" spans="1:5" x14ac:dyDescent="0.3">
      <c r="A16" s="2" t="s">
        <v>68</v>
      </c>
      <c r="B16" s="2" t="s">
        <v>1098</v>
      </c>
      <c r="C16" s="2" t="s">
        <v>1083</v>
      </c>
      <c r="D16" s="2">
        <v>27</v>
      </c>
      <c r="E16" s="2" t="s">
        <v>1081</v>
      </c>
    </row>
    <row r="17" spans="1:5" x14ac:dyDescent="0.3">
      <c r="A17" s="2" t="s">
        <v>1099</v>
      </c>
      <c r="B17" s="2" t="s">
        <v>1079</v>
      </c>
      <c r="C17" s="2" t="s">
        <v>1080</v>
      </c>
      <c r="D17" s="2">
        <v>29.828571428571401</v>
      </c>
      <c r="E17" s="2" t="s">
        <v>1081</v>
      </c>
    </row>
    <row r="18" spans="1:5" x14ac:dyDescent="0.3">
      <c r="A18" s="2" t="s">
        <v>1100</v>
      </c>
      <c r="B18" s="2" t="s">
        <v>1082</v>
      </c>
      <c r="C18" s="2" t="s">
        <v>1083</v>
      </c>
      <c r="D18" s="2">
        <v>30.007142857142899</v>
      </c>
      <c r="E18" s="2" t="s">
        <v>1084</v>
      </c>
    </row>
    <row r="19" spans="1:5" x14ac:dyDescent="0.3">
      <c r="A19" s="2" t="s">
        <v>1101</v>
      </c>
      <c r="B19" s="2" t="s">
        <v>1085</v>
      </c>
      <c r="C19" s="2" t="s">
        <v>1086</v>
      </c>
      <c r="D19" s="2">
        <v>30.185714285714301</v>
      </c>
      <c r="E19" s="2" t="s">
        <v>1081</v>
      </c>
    </row>
    <row r="20" spans="1:5" x14ac:dyDescent="0.3">
      <c r="A20" s="2" t="s">
        <v>1102</v>
      </c>
      <c r="B20" s="2" t="s">
        <v>1087</v>
      </c>
      <c r="C20" s="2" t="s">
        <v>1086</v>
      </c>
      <c r="D20" s="2">
        <v>30.3642857142857</v>
      </c>
      <c r="E20" s="2" t="s">
        <v>1084</v>
      </c>
    </row>
    <row r="21" spans="1:5" x14ac:dyDescent="0.3">
      <c r="A21" s="2" t="s">
        <v>1103</v>
      </c>
      <c r="B21" s="2" t="s">
        <v>1088</v>
      </c>
      <c r="C21" s="2" t="s">
        <v>1083</v>
      </c>
      <c r="D21" s="2">
        <v>30.542857142857098</v>
      </c>
      <c r="E21" s="2" t="s">
        <v>1081</v>
      </c>
    </row>
    <row r="22" spans="1:5" x14ac:dyDescent="0.3">
      <c r="A22" s="2" t="s">
        <v>1104</v>
      </c>
      <c r="B22" s="2" t="s">
        <v>1089</v>
      </c>
      <c r="C22" s="2" t="s">
        <v>1086</v>
      </c>
      <c r="D22" s="2">
        <v>30.7214285714286</v>
      </c>
      <c r="E22" s="2" t="s">
        <v>1084</v>
      </c>
    </row>
    <row r="23" spans="1:5" x14ac:dyDescent="0.3">
      <c r="A23" s="2" t="s">
        <v>1105</v>
      </c>
      <c r="B23" s="2" t="s">
        <v>1090</v>
      </c>
      <c r="C23" s="2" t="s">
        <v>1083</v>
      </c>
      <c r="D23" s="2">
        <v>30.9</v>
      </c>
      <c r="E23" s="2" t="s">
        <v>1081</v>
      </c>
    </row>
    <row r="24" spans="1:5" x14ac:dyDescent="0.3">
      <c r="A24" s="2" t="s">
        <v>1106</v>
      </c>
      <c r="B24" s="2" t="s">
        <v>1091</v>
      </c>
      <c r="C24" s="2" t="s">
        <v>1086</v>
      </c>
      <c r="D24" s="2">
        <v>31.078571428571401</v>
      </c>
      <c r="E24" s="2" t="s">
        <v>1084</v>
      </c>
    </row>
    <row r="25" spans="1:5" x14ac:dyDescent="0.3">
      <c r="A25" s="2" t="s">
        <v>1107</v>
      </c>
      <c r="B25" s="2" t="s">
        <v>1092</v>
      </c>
      <c r="C25" s="2" t="s">
        <v>1083</v>
      </c>
      <c r="D25" s="2">
        <v>31.257142857142899</v>
      </c>
      <c r="E25" s="2" t="s">
        <v>1081</v>
      </c>
    </row>
    <row r="26" spans="1:5" x14ac:dyDescent="0.3">
      <c r="A26" s="2" t="s">
        <v>1108</v>
      </c>
      <c r="B26" s="2" t="s">
        <v>1093</v>
      </c>
      <c r="C26" s="2" t="s">
        <v>1086</v>
      </c>
      <c r="D26" s="2">
        <v>31.435714285714301</v>
      </c>
      <c r="E26" s="2" t="s">
        <v>1084</v>
      </c>
    </row>
    <row r="27" spans="1:5" x14ac:dyDescent="0.3">
      <c r="A27" s="2" t="s">
        <v>1109</v>
      </c>
      <c r="B27" s="2" t="s">
        <v>1094</v>
      </c>
      <c r="C27" s="2" t="s">
        <v>1083</v>
      </c>
      <c r="D27" s="2">
        <v>31.6142857142857</v>
      </c>
      <c r="E27" s="2" t="s">
        <v>1081</v>
      </c>
    </row>
    <row r="28" spans="1:5" x14ac:dyDescent="0.3">
      <c r="A28" s="2" t="s">
        <v>1110</v>
      </c>
      <c r="B28" s="2" t="s">
        <v>1095</v>
      </c>
      <c r="C28" s="2" t="s">
        <v>1086</v>
      </c>
      <c r="D28" s="2">
        <v>31.792857142857098</v>
      </c>
      <c r="E28" s="2" t="s">
        <v>1084</v>
      </c>
    </row>
    <row r="29" spans="1:5" x14ac:dyDescent="0.3">
      <c r="A29" s="2" t="s">
        <v>1111</v>
      </c>
      <c r="B29" s="2" t="s">
        <v>1096</v>
      </c>
      <c r="C29" s="2" t="s">
        <v>1083</v>
      </c>
      <c r="D29" s="2">
        <v>31.9714285714286</v>
      </c>
      <c r="E29" s="2" t="s">
        <v>1081</v>
      </c>
    </row>
    <row r="30" spans="1:5" x14ac:dyDescent="0.3">
      <c r="A30" s="2" t="s">
        <v>1112</v>
      </c>
      <c r="B30" s="2" t="s">
        <v>1097</v>
      </c>
      <c r="C30" s="2" t="s">
        <v>1086</v>
      </c>
      <c r="D30" s="2">
        <v>32.15</v>
      </c>
      <c r="E30" s="2" t="s">
        <v>1084</v>
      </c>
    </row>
    <row r="31" spans="1:5" x14ac:dyDescent="0.3">
      <c r="A31" s="2" t="s">
        <v>1113</v>
      </c>
      <c r="B31" s="2" t="s">
        <v>1098</v>
      </c>
      <c r="C31" s="2" t="s">
        <v>1083</v>
      </c>
      <c r="D31" s="2">
        <v>32.328571428571401</v>
      </c>
      <c r="E31" s="2" t="s">
        <v>1081</v>
      </c>
    </row>
    <row r="32" spans="1:5" x14ac:dyDescent="0.3">
      <c r="A32" s="2" t="s">
        <v>1114</v>
      </c>
      <c r="B32" s="2" t="s">
        <v>1079</v>
      </c>
      <c r="C32" s="2" t="s">
        <v>1080</v>
      </c>
      <c r="D32" s="2">
        <v>32.507142857142902</v>
      </c>
      <c r="E32" s="2" t="s">
        <v>1081</v>
      </c>
    </row>
    <row r="33" spans="1:5" x14ac:dyDescent="0.3">
      <c r="A33" s="2" t="s">
        <v>1115</v>
      </c>
      <c r="B33" s="2" t="s">
        <v>1082</v>
      </c>
      <c r="C33" s="2" t="s">
        <v>1083</v>
      </c>
      <c r="D33" s="2">
        <v>32.685714285714297</v>
      </c>
      <c r="E33" s="2" t="s">
        <v>1084</v>
      </c>
    </row>
    <row r="34" spans="1:5" x14ac:dyDescent="0.3">
      <c r="A34" s="2" t="s">
        <v>1116</v>
      </c>
      <c r="B34" s="2" t="s">
        <v>1085</v>
      </c>
      <c r="C34" s="2" t="s">
        <v>1086</v>
      </c>
      <c r="D34" s="2">
        <v>32.8642857142857</v>
      </c>
      <c r="E34" s="2" t="s">
        <v>1081</v>
      </c>
    </row>
    <row r="35" spans="1:5" x14ac:dyDescent="0.3">
      <c r="A35" s="2" t="s">
        <v>1117</v>
      </c>
      <c r="B35" s="2" t="s">
        <v>1087</v>
      </c>
      <c r="C35" s="2" t="s">
        <v>1086</v>
      </c>
      <c r="D35" s="2">
        <v>33.042857142857102</v>
      </c>
      <c r="E35" s="2" t="s">
        <v>1084</v>
      </c>
    </row>
    <row r="36" spans="1:5" x14ac:dyDescent="0.3">
      <c r="A36" s="2" t="s">
        <v>1118</v>
      </c>
      <c r="B36" s="2" t="s">
        <v>1088</v>
      </c>
      <c r="C36" s="2" t="s">
        <v>1083</v>
      </c>
      <c r="D36" s="2">
        <v>33.221428571428604</v>
      </c>
      <c r="E36" s="2" t="s">
        <v>1081</v>
      </c>
    </row>
    <row r="37" spans="1:5" x14ac:dyDescent="0.3">
      <c r="A37" s="2" t="s">
        <v>1119</v>
      </c>
      <c r="B37" s="2" t="s">
        <v>1089</v>
      </c>
      <c r="C37" s="2" t="s">
        <v>1086</v>
      </c>
      <c r="D37" s="2">
        <v>33.4</v>
      </c>
      <c r="E37" s="2" t="s">
        <v>1084</v>
      </c>
    </row>
    <row r="38" spans="1:5" x14ac:dyDescent="0.3">
      <c r="A38" s="2" t="s">
        <v>1120</v>
      </c>
      <c r="B38" s="2" t="s">
        <v>1090</v>
      </c>
      <c r="C38" s="2" t="s">
        <v>1083</v>
      </c>
      <c r="D38" s="2">
        <v>33.578571428571401</v>
      </c>
      <c r="E38" s="2" t="s">
        <v>1081</v>
      </c>
    </row>
    <row r="39" spans="1:5" x14ac:dyDescent="0.3">
      <c r="A39" s="2" t="s">
        <v>1121</v>
      </c>
      <c r="B39" s="2" t="s">
        <v>1091</v>
      </c>
      <c r="C39" s="2" t="s">
        <v>1086</v>
      </c>
      <c r="D39" s="2">
        <v>33.757142857142803</v>
      </c>
      <c r="E39" s="2" t="s">
        <v>1084</v>
      </c>
    </row>
    <row r="40" spans="1:5" x14ac:dyDescent="0.3">
      <c r="A40" s="2" t="s">
        <v>1122</v>
      </c>
      <c r="B40" s="2" t="s">
        <v>1092</v>
      </c>
      <c r="C40" s="2" t="s">
        <v>1083</v>
      </c>
      <c r="D40" s="2">
        <v>33.935714285714297</v>
      </c>
      <c r="E40" s="2" t="s">
        <v>1081</v>
      </c>
    </row>
    <row r="41" spans="1:5" x14ac:dyDescent="0.3">
      <c r="A41" s="2" t="s">
        <v>1123</v>
      </c>
      <c r="B41" s="2" t="s">
        <v>1093</v>
      </c>
      <c r="C41" s="2" t="s">
        <v>1086</v>
      </c>
      <c r="D41" s="2">
        <v>34.1142857142857</v>
      </c>
      <c r="E41" s="2" t="s">
        <v>1084</v>
      </c>
    </row>
    <row r="42" spans="1:5" x14ac:dyDescent="0.3">
      <c r="A42" s="2" t="s">
        <v>1124</v>
      </c>
      <c r="B42" s="2" t="s">
        <v>1094</v>
      </c>
      <c r="C42" s="2" t="s">
        <v>1083</v>
      </c>
      <c r="D42" s="2">
        <v>34.292857142857102</v>
      </c>
      <c r="E42" s="2" t="s">
        <v>1081</v>
      </c>
    </row>
    <row r="43" spans="1:5" x14ac:dyDescent="0.3">
      <c r="A43" s="2" t="s">
        <v>1125</v>
      </c>
      <c r="B43" s="2" t="s">
        <v>1095</v>
      </c>
      <c r="C43" s="2" t="s">
        <v>1086</v>
      </c>
      <c r="D43" s="2">
        <v>34.471428571428604</v>
      </c>
      <c r="E43" s="2" t="s">
        <v>1084</v>
      </c>
    </row>
    <row r="44" spans="1:5" x14ac:dyDescent="0.3">
      <c r="A44" s="2" t="s">
        <v>1126</v>
      </c>
      <c r="B44" s="2" t="s">
        <v>1096</v>
      </c>
      <c r="C44" s="2" t="s">
        <v>1083</v>
      </c>
      <c r="D44" s="2">
        <v>34.65</v>
      </c>
      <c r="E44" s="2" t="s">
        <v>1081</v>
      </c>
    </row>
    <row r="45" spans="1:5" x14ac:dyDescent="0.3">
      <c r="A45" s="2" t="s">
        <v>1127</v>
      </c>
      <c r="B45" s="2" t="s">
        <v>1097</v>
      </c>
      <c r="C45" s="2" t="s">
        <v>1086</v>
      </c>
      <c r="D45" s="2">
        <v>34.828571428571401</v>
      </c>
      <c r="E45" s="2" t="s">
        <v>1084</v>
      </c>
    </row>
    <row r="46" spans="1:5" x14ac:dyDescent="0.3">
      <c r="A46" s="2" t="s">
        <v>1128</v>
      </c>
      <c r="B46" s="2" t="s">
        <v>1098</v>
      </c>
      <c r="C46" s="2" t="s">
        <v>1083</v>
      </c>
      <c r="D46" s="2">
        <v>35.007142857142803</v>
      </c>
      <c r="E46" s="2" t="s">
        <v>1081</v>
      </c>
    </row>
    <row r="47" spans="1:5" x14ac:dyDescent="0.3">
      <c r="A47" s="2" t="s">
        <v>1129</v>
      </c>
      <c r="B47" s="2" t="s">
        <v>1079</v>
      </c>
      <c r="C47" s="2" t="s">
        <v>1080</v>
      </c>
      <c r="D47" s="2">
        <v>35.185714285714297</v>
      </c>
      <c r="E47" s="2" t="s">
        <v>1081</v>
      </c>
    </row>
    <row r="48" spans="1:5" x14ac:dyDescent="0.3">
      <c r="A48" s="2" t="s">
        <v>1130</v>
      </c>
      <c r="B48" s="2" t="s">
        <v>1082</v>
      </c>
      <c r="C48" s="2" t="s">
        <v>1083</v>
      </c>
      <c r="D48" s="2">
        <v>35.3642857142857</v>
      </c>
      <c r="E48" s="2" t="s">
        <v>1084</v>
      </c>
    </row>
    <row r="49" spans="1:5" x14ac:dyDescent="0.3">
      <c r="A49" s="2" t="s">
        <v>1131</v>
      </c>
      <c r="B49" s="2" t="s">
        <v>1085</v>
      </c>
      <c r="C49" s="2" t="s">
        <v>1086</v>
      </c>
      <c r="D49" s="2">
        <v>35.542857142857102</v>
      </c>
      <c r="E49" s="2" t="s">
        <v>1081</v>
      </c>
    </row>
    <row r="50" spans="1:5" x14ac:dyDescent="0.3">
      <c r="A50" s="2" t="s">
        <v>1132</v>
      </c>
      <c r="B50" s="2" t="s">
        <v>1087</v>
      </c>
      <c r="C50" s="2" t="s">
        <v>1086</v>
      </c>
      <c r="D50" s="2">
        <v>35.721428571428604</v>
      </c>
      <c r="E50" s="2" t="s">
        <v>1084</v>
      </c>
    </row>
    <row r="51" spans="1:5" x14ac:dyDescent="0.3">
      <c r="A51" s="2" t="s">
        <v>1133</v>
      </c>
      <c r="B51" s="2" t="s">
        <v>1088</v>
      </c>
      <c r="C51" s="2" t="s">
        <v>1083</v>
      </c>
      <c r="D51" s="2">
        <v>35.9</v>
      </c>
      <c r="E51" s="2" t="s">
        <v>1081</v>
      </c>
    </row>
    <row r="52" spans="1:5" x14ac:dyDescent="0.3">
      <c r="A52" s="2" t="s">
        <v>1134</v>
      </c>
      <c r="B52" s="2" t="s">
        <v>1089</v>
      </c>
      <c r="C52" s="2" t="s">
        <v>1086</v>
      </c>
      <c r="D52" s="2">
        <v>36.078571428571401</v>
      </c>
      <c r="E52" s="2" t="s">
        <v>1084</v>
      </c>
    </row>
    <row r="53" spans="1:5" x14ac:dyDescent="0.3">
      <c r="A53" s="2" t="s">
        <v>1135</v>
      </c>
      <c r="B53" s="2" t="s">
        <v>1090</v>
      </c>
      <c r="C53" s="2" t="s">
        <v>1083</v>
      </c>
      <c r="D53" s="2">
        <v>36.257142857142902</v>
      </c>
      <c r="E53" s="2" t="s">
        <v>1081</v>
      </c>
    </row>
    <row r="54" spans="1:5" x14ac:dyDescent="0.3">
      <c r="A54" s="2" t="s">
        <v>1136</v>
      </c>
      <c r="B54" s="2" t="s">
        <v>1091</v>
      </c>
      <c r="C54" s="2" t="s">
        <v>1086</v>
      </c>
      <c r="D54" s="2">
        <v>36.435714285714297</v>
      </c>
      <c r="E54" s="2" t="s">
        <v>1084</v>
      </c>
    </row>
    <row r="55" spans="1:5" x14ac:dyDescent="0.3">
      <c r="A55" s="2" t="s">
        <v>1137</v>
      </c>
      <c r="B55" s="2" t="s">
        <v>1092</v>
      </c>
      <c r="C55" s="2" t="s">
        <v>1083</v>
      </c>
      <c r="D55" s="2">
        <v>36.6142857142857</v>
      </c>
      <c r="E55" s="2" t="s">
        <v>1081</v>
      </c>
    </row>
    <row r="56" spans="1:5" x14ac:dyDescent="0.3">
      <c r="A56" s="2" t="s">
        <v>1138</v>
      </c>
      <c r="B56" s="2" t="s">
        <v>1093</v>
      </c>
      <c r="C56" s="2" t="s">
        <v>1086</v>
      </c>
      <c r="D56" s="2">
        <v>36.792857142857102</v>
      </c>
      <c r="E56" s="2" t="s">
        <v>1084</v>
      </c>
    </row>
    <row r="57" spans="1:5" x14ac:dyDescent="0.3">
      <c r="A57" s="2" t="s">
        <v>1139</v>
      </c>
      <c r="B57" s="2" t="s">
        <v>1094</v>
      </c>
      <c r="C57" s="2" t="s">
        <v>1083</v>
      </c>
      <c r="D57" s="2">
        <v>36.971428571428604</v>
      </c>
      <c r="E57" s="2" t="s">
        <v>1081</v>
      </c>
    </row>
    <row r="58" spans="1:5" x14ac:dyDescent="0.3">
      <c r="A58" s="2" t="s">
        <v>1140</v>
      </c>
      <c r="B58" s="2" t="s">
        <v>1095</v>
      </c>
      <c r="C58" s="2" t="s">
        <v>1086</v>
      </c>
      <c r="D58" s="2">
        <v>37.15</v>
      </c>
      <c r="E58" s="2" t="s">
        <v>1084</v>
      </c>
    </row>
    <row r="59" spans="1:5" x14ac:dyDescent="0.3">
      <c r="A59" s="2" t="s">
        <v>1141</v>
      </c>
      <c r="B59" s="2" t="s">
        <v>1096</v>
      </c>
      <c r="C59" s="2" t="s">
        <v>1083</v>
      </c>
      <c r="D59" s="2">
        <v>37.328571428571401</v>
      </c>
      <c r="E59" s="2" t="s">
        <v>1081</v>
      </c>
    </row>
    <row r="60" spans="1:5" x14ac:dyDescent="0.3">
      <c r="A60" s="2" t="s">
        <v>1142</v>
      </c>
      <c r="B60" s="2" t="s">
        <v>1097</v>
      </c>
      <c r="C60" s="2" t="s">
        <v>1086</v>
      </c>
      <c r="D60" s="2">
        <v>37.507142857142902</v>
      </c>
      <c r="E60" s="2" t="s">
        <v>1084</v>
      </c>
    </row>
    <row r="61" spans="1:5" x14ac:dyDescent="0.3">
      <c r="A61" s="2" t="s">
        <v>1143</v>
      </c>
      <c r="B61" s="2" t="s">
        <v>1098</v>
      </c>
      <c r="C61" s="2" t="s">
        <v>1083</v>
      </c>
      <c r="D61" s="2">
        <v>37.685714285714297</v>
      </c>
      <c r="E61" s="2" t="s">
        <v>1081</v>
      </c>
    </row>
    <row r="62" spans="1:5" x14ac:dyDescent="0.3">
      <c r="A62" s="2" t="s">
        <v>1144</v>
      </c>
      <c r="B62" s="2" t="s">
        <v>1079</v>
      </c>
      <c r="C62" s="2" t="s">
        <v>1080</v>
      </c>
      <c r="D62" s="2">
        <v>37.8642857142857</v>
      </c>
      <c r="E62" s="2" t="s">
        <v>1081</v>
      </c>
    </row>
    <row r="63" spans="1:5" x14ac:dyDescent="0.3">
      <c r="A63" s="2" t="s">
        <v>1145</v>
      </c>
      <c r="B63" s="2" t="s">
        <v>1082</v>
      </c>
      <c r="C63" s="2" t="s">
        <v>1083</v>
      </c>
      <c r="D63" s="2">
        <v>38.042857142857102</v>
      </c>
      <c r="E63" s="2" t="s">
        <v>1084</v>
      </c>
    </row>
    <row r="64" spans="1:5" x14ac:dyDescent="0.3">
      <c r="A64" s="2" t="s">
        <v>1146</v>
      </c>
      <c r="B64" s="2" t="s">
        <v>1085</v>
      </c>
      <c r="C64" s="2" t="s">
        <v>1086</v>
      </c>
      <c r="D64" s="2">
        <v>38.221428571428604</v>
      </c>
      <c r="E64" s="2" t="s">
        <v>1081</v>
      </c>
    </row>
    <row r="65" spans="1:5" x14ac:dyDescent="0.3">
      <c r="A65" s="2" t="s">
        <v>1147</v>
      </c>
      <c r="B65" s="2" t="s">
        <v>1087</v>
      </c>
      <c r="C65" s="2" t="s">
        <v>1086</v>
      </c>
      <c r="D65" s="2">
        <v>38.4</v>
      </c>
      <c r="E65" s="2" t="s">
        <v>1084</v>
      </c>
    </row>
    <row r="66" spans="1:5" x14ac:dyDescent="0.3">
      <c r="A66" s="2" t="s">
        <v>1148</v>
      </c>
      <c r="B66" s="2" t="s">
        <v>1088</v>
      </c>
      <c r="C66" s="2" t="s">
        <v>1083</v>
      </c>
      <c r="D66" s="2">
        <v>38.578571428571401</v>
      </c>
      <c r="E66" s="2" t="s">
        <v>1081</v>
      </c>
    </row>
    <row r="67" spans="1:5" x14ac:dyDescent="0.3">
      <c r="A67" s="2" t="s">
        <v>1149</v>
      </c>
      <c r="B67" s="2" t="s">
        <v>1089</v>
      </c>
      <c r="C67" s="2" t="s">
        <v>1086</v>
      </c>
      <c r="D67" s="2">
        <v>38.757142857142902</v>
      </c>
      <c r="E67" s="2" t="s">
        <v>1084</v>
      </c>
    </row>
    <row r="68" spans="1:5" x14ac:dyDescent="0.3">
      <c r="A68" s="2" t="s">
        <v>1150</v>
      </c>
      <c r="B68" s="2" t="s">
        <v>1090</v>
      </c>
      <c r="C68" s="2" t="s">
        <v>1083</v>
      </c>
      <c r="D68" s="2">
        <v>38.935714285714297</v>
      </c>
      <c r="E68" s="2" t="s">
        <v>1081</v>
      </c>
    </row>
    <row r="69" spans="1:5" x14ac:dyDescent="0.3">
      <c r="A69" s="2" t="s">
        <v>1151</v>
      </c>
      <c r="B69" s="2" t="s">
        <v>1091</v>
      </c>
      <c r="C69" s="2" t="s">
        <v>1086</v>
      </c>
      <c r="D69" s="2">
        <v>39.1142857142857</v>
      </c>
      <c r="E69" s="2" t="s">
        <v>1084</v>
      </c>
    </row>
    <row r="70" spans="1:5" x14ac:dyDescent="0.3">
      <c r="A70" s="2" t="s">
        <v>1152</v>
      </c>
      <c r="B70" s="2" t="s">
        <v>1092</v>
      </c>
      <c r="C70" s="2" t="s">
        <v>1083</v>
      </c>
      <c r="D70" s="2">
        <v>39.292857142857102</v>
      </c>
      <c r="E70" s="2" t="s">
        <v>1081</v>
      </c>
    </row>
    <row r="71" spans="1:5" x14ac:dyDescent="0.3">
      <c r="A71" s="2" t="s">
        <v>1153</v>
      </c>
      <c r="B71" s="2" t="s">
        <v>1093</v>
      </c>
      <c r="C71" s="2" t="s">
        <v>1086</v>
      </c>
      <c r="D71" s="2">
        <v>39.471428571428604</v>
      </c>
      <c r="E71" s="2" t="s">
        <v>1084</v>
      </c>
    </row>
    <row r="72" spans="1:5" x14ac:dyDescent="0.3">
      <c r="A72" s="2" t="s">
        <v>1154</v>
      </c>
      <c r="B72" s="2" t="s">
        <v>1094</v>
      </c>
      <c r="C72" s="2" t="s">
        <v>1083</v>
      </c>
      <c r="D72" s="2">
        <v>39.65</v>
      </c>
      <c r="E72" s="2" t="s">
        <v>1081</v>
      </c>
    </row>
    <row r="73" spans="1:5" x14ac:dyDescent="0.3">
      <c r="A73" s="2" t="s">
        <v>1155</v>
      </c>
      <c r="B73" s="2" t="s">
        <v>1095</v>
      </c>
      <c r="C73" s="2" t="s">
        <v>1086</v>
      </c>
      <c r="D73" s="2">
        <v>39.828571428571401</v>
      </c>
      <c r="E73" s="2" t="s">
        <v>1084</v>
      </c>
    </row>
    <row r="74" spans="1:5" x14ac:dyDescent="0.3">
      <c r="A74" s="2" t="s">
        <v>1156</v>
      </c>
      <c r="B74" s="2" t="s">
        <v>1096</v>
      </c>
      <c r="C74" s="2" t="s">
        <v>1083</v>
      </c>
      <c r="D74" s="2">
        <v>40.007142857142902</v>
      </c>
      <c r="E74" s="2" t="s">
        <v>1081</v>
      </c>
    </row>
    <row r="75" spans="1:5" x14ac:dyDescent="0.3">
      <c r="A75" s="2" t="s">
        <v>1157</v>
      </c>
      <c r="B75" s="2" t="s">
        <v>1097</v>
      </c>
      <c r="C75" s="2" t="s">
        <v>1086</v>
      </c>
      <c r="D75" s="2">
        <v>40.185714285714297</v>
      </c>
      <c r="E75" s="2" t="s">
        <v>1084</v>
      </c>
    </row>
    <row r="76" spans="1:5" x14ac:dyDescent="0.3">
      <c r="A76" s="2" t="s">
        <v>1158</v>
      </c>
      <c r="B76" s="2" t="s">
        <v>1098</v>
      </c>
      <c r="C76" s="2" t="s">
        <v>1083</v>
      </c>
      <c r="D76" s="2">
        <v>40.3642857142857</v>
      </c>
      <c r="E76" s="2" t="s">
        <v>1081</v>
      </c>
    </row>
    <row r="77" spans="1:5" x14ac:dyDescent="0.3">
      <c r="A77" s="2" t="s">
        <v>1159</v>
      </c>
      <c r="B77" s="2" t="s">
        <v>1079</v>
      </c>
      <c r="C77" s="2" t="s">
        <v>1080</v>
      </c>
      <c r="D77" s="2">
        <v>40.542857142857102</v>
      </c>
      <c r="E77" s="2" t="s">
        <v>1081</v>
      </c>
    </row>
    <row r="78" spans="1:5" x14ac:dyDescent="0.3">
      <c r="A78" s="2" t="s">
        <v>1160</v>
      </c>
      <c r="B78" s="2" t="s">
        <v>1082</v>
      </c>
      <c r="C78" s="2" t="s">
        <v>1083</v>
      </c>
      <c r="D78" s="2">
        <v>40.721428571428604</v>
      </c>
      <c r="E78" s="2" t="s">
        <v>1084</v>
      </c>
    </row>
    <row r="79" spans="1:5" x14ac:dyDescent="0.3">
      <c r="A79" s="2" t="s">
        <v>1161</v>
      </c>
      <c r="B79" s="2" t="s">
        <v>1085</v>
      </c>
      <c r="C79" s="2" t="s">
        <v>1086</v>
      </c>
      <c r="D79" s="2">
        <v>40.9</v>
      </c>
      <c r="E79" s="2" t="s">
        <v>1081</v>
      </c>
    </row>
    <row r="80" spans="1:5" x14ac:dyDescent="0.3">
      <c r="A80" s="2" t="s">
        <v>1162</v>
      </c>
      <c r="B80" s="2" t="s">
        <v>1087</v>
      </c>
      <c r="C80" s="2" t="s">
        <v>1086</v>
      </c>
      <c r="D80" s="2">
        <v>41.078571428571401</v>
      </c>
      <c r="E80" s="2" t="s">
        <v>1084</v>
      </c>
    </row>
    <row r="81" spans="1:5" x14ac:dyDescent="0.3">
      <c r="A81" s="2" t="s">
        <v>1163</v>
      </c>
      <c r="B81" s="2" t="s">
        <v>1088</v>
      </c>
      <c r="C81" s="2" t="s">
        <v>1083</v>
      </c>
      <c r="D81" s="2">
        <v>41.257142857142902</v>
      </c>
      <c r="E81" s="2" t="s">
        <v>1081</v>
      </c>
    </row>
    <row r="82" spans="1:5" x14ac:dyDescent="0.3">
      <c r="A82" s="2" t="s">
        <v>1164</v>
      </c>
      <c r="B82" s="2" t="s">
        <v>1089</v>
      </c>
      <c r="C82" s="2" t="s">
        <v>1086</v>
      </c>
      <c r="D82" s="2">
        <v>41.435714285714297</v>
      </c>
      <c r="E82" s="2" t="s">
        <v>1084</v>
      </c>
    </row>
    <row r="83" spans="1:5" x14ac:dyDescent="0.3">
      <c r="A83" s="2" t="s">
        <v>1165</v>
      </c>
      <c r="B83" s="2" t="s">
        <v>1090</v>
      </c>
      <c r="C83" s="2" t="s">
        <v>1083</v>
      </c>
      <c r="D83" s="2">
        <v>41.6142857142857</v>
      </c>
      <c r="E83" s="2" t="s">
        <v>1081</v>
      </c>
    </row>
    <row r="84" spans="1:5" x14ac:dyDescent="0.3">
      <c r="A84" s="2" t="s">
        <v>1166</v>
      </c>
      <c r="B84" s="2" t="s">
        <v>1091</v>
      </c>
      <c r="C84" s="2" t="s">
        <v>1086</v>
      </c>
      <c r="D84" s="2">
        <v>41.792857142857102</v>
      </c>
      <c r="E84" s="2" t="s">
        <v>1084</v>
      </c>
    </row>
    <row r="85" spans="1:5" x14ac:dyDescent="0.3">
      <c r="A85" s="2" t="s">
        <v>1167</v>
      </c>
      <c r="B85" s="2" t="s">
        <v>1092</v>
      </c>
      <c r="C85" s="2" t="s">
        <v>1083</v>
      </c>
      <c r="D85" s="2">
        <v>41.971428571428604</v>
      </c>
      <c r="E85" s="2" t="s">
        <v>1081</v>
      </c>
    </row>
    <row r="86" spans="1:5" x14ac:dyDescent="0.3">
      <c r="A86" s="2" t="s">
        <v>1168</v>
      </c>
      <c r="B86" s="2" t="s">
        <v>1093</v>
      </c>
      <c r="C86" s="2" t="s">
        <v>1086</v>
      </c>
      <c r="D86" s="2">
        <v>42.15</v>
      </c>
      <c r="E86" s="2" t="s">
        <v>1084</v>
      </c>
    </row>
    <row r="87" spans="1:5" x14ac:dyDescent="0.3">
      <c r="A87" s="2" t="s">
        <v>1169</v>
      </c>
      <c r="B87" s="2" t="s">
        <v>1094</v>
      </c>
      <c r="C87" s="2" t="s">
        <v>1083</v>
      </c>
      <c r="D87" s="2">
        <v>42.328571428571401</v>
      </c>
      <c r="E87" s="2" t="s">
        <v>1081</v>
      </c>
    </row>
    <row r="88" spans="1:5" x14ac:dyDescent="0.3">
      <c r="A88" s="2" t="s">
        <v>1170</v>
      </c>
      <c r="B88" s="2" t="s">
        <v>1095</v>
      </c>
      <c r="C88" s="2" t="s">
        <v>1086</v>
      </c>
      <c r="D88" s="2">
        <v>42.507142857142902</v>
      </c>
      <c r="E88" s="2" t="s">
        <v>1084</v>
      </c>
    </row>
    <row r="89" spans="1:5" x14ac:dyDescent="0.3">
      <c r="A89" s="2" t="s">
        <v>1171</v>
      </c>
      <c r="B89" s="2" t="s">
        <v>1096</v>
      </c>
      <c r="C89" s="2" t="s">
        <v>1083</v>
      </c>
      <c r="D89" s="2">
        <v>42.685714285714297</v>
      </c>
      <c r="E89" s="2" t="s">
        <v>1081</v>
      </c>
    </row>
    <row r="90" spans="1:5" x14ac:dyDescent="0.3">
      <c r="A90" s="2" t="s">
        <v>1172</v>
      </c>
      <c r="B90" s="2" t="s">
        <v>1097</v>
      </c>
      <c r="C90" s="2" t="s">
        <v>1086</v>
      </c>
      <c r="D90" s="2">
        <v>42.8642857142857</v>
      </c>
      <c r="E90" s="2" t="s">
        <v>1084</v>
      </c>
    </row>
    <row r="91" spans="1:5" x14ac:dyDescent="0.3">
      <c r="A91" s="2" t="s">
        <v>1173</v>
      </c>
      <c r="B91" s="2" t="s">
        <v>1098</v>
      </c>
      <c r="C91" s="2" t="s">
        <v>1083</v>
      </c>
      <c r="D91" s="2">
        <v>43.042857142857102</v>
      </c>
      <c r="E91" s="2" t="s">
        <v>1081</v>
      </c>
    </row>
    <row r="92" spans="1:5" x14ac:dyDescent="0.3">
      <c r="A92" s="2" t="s">
        <v>1174</v>
      </c>
      <c r="B92" s="2" t="s">
        <v>1079</v>
      </c>
      <c r="C92" s="2" t="s">
        <v>1080</v>
      </c>
      <c r="D92" s="2">
        <v>43.221428571428604</v>
      </c>
      <c r="E92" s="2" t="s">
        <v>1081</v>
      </c>
    </row>
    <row r="93" spans="1:5" x14ac:dyDescent="0.3">
      <c r="A93" s="2" t="s">
        <v>1175</v>
      </c>
      <c r="B93" s="2" t="s">
        <v>1082</v>
      </c>
      <c r="C93" s="2" t="s">
        <v>1083</v>
      </c>
      <c r="D93" s="2">
        <v>43.4</v>
      </c>
      <c r="E93" s="2" t="s">
        <v>1084</v>
      </c>
    </row>
    <row r="94" spans="1:5" x14ac:dyDescent="0.3">
      <c r="A94" s="2" t="s">
        <v>1176</v>
      </c>
      <c r="B94" s="2" t="s">
        <v>1085</v>
      </c>
      <c r="C94" s="2" t="s">
        <v>1086</v>
      </c>
      <c r="D94" s="2">
        <v>43.578571428571401</v>
      </c>
      <c r="E94" s="2" t="s">
        <v>1081</v>
      </c>
    </row>
    <row r="95" spans="1:5" x14ac:dyDescent="0.3">
      <c r="A95" s="2" t="s">
        <v>1177</v>
      </c>
      <c r="B95" s="2" t="s">
        <v>1087</v>
      </c>
      <c r="C95" s="2" t="s">
        <v>1086</v>
      </c>
      <c r="D95" s="2">
        <v>43.757142857142902</v>
      </c>
      <c r="E95" s="2" t="s">
        <v>1084</v>
      </c>
    </row>
    <row r="96" spans="1:5" x14ac:dyDescent="0.3">
      <c r="A96" s="2" t="s">
        <v>1178</v>
      </c>
      <c r="B96" s="2" t="s">
        <v>1088</v>
      </c>
      <c r="C96" s="2" t="s">
        <v>1083</v>
      </c>
      <c r="D96" s="2">
        <v>43.935714285714297</v>
      </c>
      <c r="E96" s="2" t="s">
        <v>1081</v>
      </c>
    </row>
    <row r="97" spans="1:5" x14ac:dyDescent="0.3">
      <c r="A97" s="2" t="s">
        <v>1179</v>
      </c>
      <c r="B97" s="2" t="s">
        <v>1089</v>
      </c>
      <c r="C97" s="2" t="s">
        <v>1086</v>
      </c>
      <c r="D97" s="2">
        <v>44.1142857142857</v>
      </c>
      <c r="E97" s="2" t="s">
        <v>1084</v>
      </c>
    </row>
    <row r="98" spans="1:5" x14ac:dyDescent="0.3">
      <c r="A98" s="2" t="s">
        <v>1180</v>
      </c>
      <c r="B98" s="2" t="s">
        <v>1090</v>
      </c>
      <c r="C98" s="2" t="s">
        <v>1083</v>
      </c>
      <c r="D98" s="2">
        <v>44.292857142857102</v>
      </c>
      <c r="E98" s="2" t="s">
        <v>1081</v>
      </c>
    </row>
    <row r="99" spans="1:5" x14ac:dyDescent="0.3">
      <c r="A99" s="2" t="s">
        <v>1181</v>
      </c>
      <c r="B99" s="2" t="s">
        <v>1091</v>
      </c>
      <c r="C99" s="2" t="s">
        <v>1086</v>
      </c>
      <c r="D99" s="2">
        <v>44.471428571428604</v>
      </c>
      <c r="E99" s="2" t="s">
        <v>1084</v>
      </c>
    </row>
    <row r="100" spans="1:5" x14ac:dyDescent="0.3">
      <c r="A100" s="2" t="s">
        <v>1182</v>
      </c>
      <c r="B100" s="2" t="s">
        <v>1092</v>
      </c>
      <c r="C100" s="2" t="s">
        <v>1083</v>
      </c>
      <c r="D100" s="2">
        <v>44.65</v>
      </c>
      <c r="E100" s="2" t="s">
        <v>1081</v>
      </c>
    </row>
    <row r="101" spans="1:5" x14ac:dyDescent="0.3">
      <c r="A101" s="2" t="s">
        <v>1183</v>
      </c>
      <c r="B101" s="2" t="s">
        <v>1093</v>
      </c>
      <c r="C101" s="2" t="s">
        <v>1086</v>
      </c>
      <c r="D101" s="2">
        <v>44.828571428571401</v>
      </c>
      <c r="E101" s="2" t="s">
        <v>1084</v>
      </c>
    </row>
    <row r="102" spans="1:5" x14ac:dyDescent="0.3">
      <c r="A102" s="2" t="s">
        <v>1184</v>
      </c>
      <c r="B102" s="2" t="s">
        <v>1094</v>
      </c>
      <c r="C102" s="2" t="s">
        <v>1083</v>
      </c>
      <c r="D102" s="2">
        <v>45.007142857142902</v>
      </c>
      <c r="E102" s="2" t="s">
        <v>1081</v>
      </c>
    </row>
    <row r="103" spans="1:5" x14ac:dyDescent="0.3">
      <c r="A103" s="2" t="s">
        <v>1185</v>
      </c>
      <c r="B103" s="2" t="s">
        <v>1095</v>
      </c>
      <c r="C103" s="2" t="s">
        <v>1086</v>
      </c>
      <c r="D103" s="2">
        <v>45.185714285714297</v>
      </c>
      <c r="E103" s="2" t="s">
        <v>1084</v>
      </c>
    </row>
    <row r="104" spans="1:5" x14ac:dyDescent="0.3">
      <c r="A104" s="2" t="s">
        <v>1186</v>
      </c>
      <c r="B104" s="2" t="s">
        <v>1096</v>
      </c>
      <c r="C104" s="2" t="s">
        <v>1083</v>
      </c>
      <c r="D104" s="2">
        <v>45.3642857142857</v>
      </c>
      <c r="E104" s="2" t="s">
        <v>1081</v>
      </c>
    </row>
    <row r="105" spans="1:5" x14ac:dyDescent="0.3">
      <c r="A105" s="2" t="s">
        <v>1187</v>
      </c>
      <c r="B105" s="2" t="s">
        <v>1097</v>
      </c>
      <c r="C105" s="2" t="s">
        <v>1086</v>
      </c>
      <c r="D105" s="2">
        <v>45.542857142857102</v>
      </c>
      <c r="E105" s="2" t="s">
        <v>1084</v>
      </c>
    </row>
    <row r="106" spans="1:5" x14ac:dyDescent="0.3">
      <c r="A106" s="2" t="s">
        <v>1188</v>
      </c>
      <c r="B106" s="2" t="s">
        <v>1098</v>
      </c>
      <c r="C106" s="2" t="s">
        <v>1083</v>
      </c>
      <c r="D106" s="2">
        <v>45.721428571428604</v>
      </c>
      <c r="E106" s="2" t="s">
        <v>1081</v>
      </c>
    </row>
    <row r="107" spans="1:5" x14ac:dyDescent="0.3">
      <c r="A107" s="2" t="s">
        <v>1189</v>
      </c>
      <c r="B107" s="2" t="s">
        <v>1079</v>
      </c>
      <c r="C107" s="2" t="s">
        <v>1080</v>
      </c>
      <c r="D107" s="2">
        <v>45.9</v>
      </c>
      <c r="E107" s="2" t="s">
        <v>1081</v>
      </c>
    </row>
    <row r="108" spans="1:5" x14ac:dyDescent="0.3">
      <c r="A108" s="2" t="s">
        <v>1190</v>
      </c>
      <c r="B108" s="2" t="s">
        <v>1082</v>
      </c>
      <c r="C108" s="2" t="s">
        <v>1083</v>
      </c>
      <c r="D108" s="2">
        <v>46.078571428571401</v>
      </c>
      <c r="E108" s="2" t="s">
        <v>1084</v>
      </c>
    </row>
    <row r="109" spans="1:5" x14ac:dyDescent="0.3">
      <c r="A109" s="2" t="s">
        <v>1191</v>
      </c>
      <c r="B109" s="2" t="s">
        <v>1085</v>
      </c>
      <c r="C109" s="2" t="s">
        <v>1086</v>
      </c>
      <c r="D109" s="2">
        <v>46.257142857142902</v>
      </c>
      <c r="E109" s="2" t="s">
        <v>1081</v>
      </c>
    </row>
    <row r="110" spans="1:5" x14ac:dyDescent="0.3">
      <c r="A110" s="2" t="s">
        <v>1192</v>
      </c>
      <c r="B110" s="2" t="s">
        <v>1087</v>
      </c>
      <c r="C110" s="2" t="s">
        <v>1086</v>
      </c>
      <c r="D110" s="2">
        <v>46.435714285714297</v>
      </c>
      <c r="E110" s="2" t="s">
        <v>1084</v>
      </c>
    </row>
    <row r="111" spans="1:5" x14ac:dyDescent="0.3">
      <c r="A111" s="2" t="s">
        <v>1193</v>
      </c>
      <c r="B111" s="2" t="s">
        <v>1088</v>
      </c>
      <c r="C111" s="2" t="s">
        <v>1083</v>
      </c>
      <c r="D111" s="2">
        <v>46.6142857142857</v>
      </c>
      <c r="E111" s="2" t="s">
        <v>1081</v>
      </c>
    </row>
    <row r="112" spans="1:5" x14ac:dyDescent="0.3">
      <c r="A112" s="2" t="s">
        <v>1194</v>
      </c>
      <c r="B112" s="2" t="s">
        <v>1089</v>
      </c>
      <c r="C112" s="2" t="s">
        <v>1086</v>
      </c>
      <c r="D112" s="2">
        <v>46.792857142857102</v>
      </c>
      <c r="E112" s="2" t="s">
        <v>1084</v>
      </c>
    </row>
    <row r="113" spans="1:5" x14ac:dyDescent="0.3">
      <c r="A113" s="2" t="s">
        <v>1195</v>
      </c>
      <c r="B113" s="2" t="s">
        <v>1090</v>
      </c>
      <c r="C113" s="2" t="s">
        <v>1083</v>
      </c>
      <c r="D113" s="2">
        <v>46.971428571428604</v>
      </c>
      <c r="E113" s="2" t="s">
        <v>1081</v>
      </c>
    </row>
    <row r="114" spans="1:5" x14ac:dyDescent="0.3">
      <c r="A114" s="2" t="s">
        <v>1196</v>
      </c>
      <c r="B114" s="2" t="s">
        <v>1091</v>
      </c>
      <c r="C114" s="2" t="s">
        <v>1086</v>
      </c>
      <c r="D114" s="2">
        <v>47.15</v>
      </c>
      <c r="E114" s="2" t="s">
        <v>1084</v>
      </c>
    </row>
    <row r="115" spans="1:5" x14ac:dyDescent="0.3">
      <c r="A115" s="2" t="s">
        <v>1197</v>
      </c>
      <c r="B115" s="2" t="s">
        <v>1092</v>
      </c>
      <c r="C115" s="2" t="s">
        <v>1083</v>
      </c>
      <c r="D115" s="2">
        <v>47.328571428571401</v>
      </c>
      <c r="E115" s="2" t="s">
        <v>1081</v>
      </c>
    </row>
    <row r="116" spans="1:5" x14ac:dyDescent="0.3">
      <c r="A116" s="2" t="s">
        <v>1198</v>
      </c>
      <c r="B116" s="2" t="s">
        <v>1093</v>
      </c>
      <c r="C116" s="2" t="s">
        <v>1086</v>
      </c>
      <c r="D116" s="2">
        <v>47.507142857142902</v>
      </c>
      <c r="E116" s="2" t="s">
        <v>1084</v>
      </c>
    </row>
    <row r="117" spans="1:5" x14ac:dyDescent="0.3">
      <c r="A117" s="2" t="s">
        <v>1199</v>
      </c>
      <c r="B117" s="2" t="s">
        <v>1094</v>
      </c>
      <c r="C117" s="2" t="s">
        <v>1083</v>
      </c>
      <c r="D117" s="2">
        <v>47.685714285714297</v>
      </c>
      <c r="E117" s="2" t="s">
        <v>1081</v>
      </c>
    </row>
    <row r="118" spans="1:5" x14ac:dyDescent="0.3">
      <c r="A118" s="2" t="s">
        <v>1200</v>
      </c>
      <c r="B118" s="2" t="s">
        <v>1095</v>
      </c>
      <c r="C118" s="2" t="s">
        <v>1086</v>
      </c>
      <c r="D118" s="2">
        <v>47.8642857142857</v>
      </c>
      <c r="E118" s="2" t="s">
        <v>1084</v>
      </c>
    </row>
    <row r="119" spans="1:5" x14ac:dyDescent="0.3">
      <c r="A119" s="2" t="s">
        <v>1201</v>
      </c>
      <c r="B119" s="2" t="s">
        <v>1096</v>
      </c>
      <c r="C119" s="2" t="s">
        <v>1083</v>
      </c>
      <c r="D119" s="2">
        <v>48.042857142857102</v>
      </c>
      <c r="E119" s="2" t="s">
        <v>1081</v>
      </c>
    </row>
    <row r="120" spans="1:5" x14ac:dyDescent="0.3">
      <c r="A120" s="2" t="s">
        <v>1202</v>
      </c>
      <c r="B120" s="2" t="s">
        <v>1097</v>
      </c>
      <c r="C120" s="2" t="s">
        <v>1086</v>
      </c>
      <c r="D120" s="2">
        <v>48.221428571428604</v>
      </c>
      <c r="E120" s="2" t="s">
        <v>1084</v>
      </c>
    </row>
    <row r="121" spans="1:5" x14ac:dyDescent="0.3">
      <c r="A121" s="2" t="s">
        <v>1203</v>
      </c>
      <c r="B121" s="2" t="s">
        <v>1098</v>
      </c>
      <c r="C121" s="2" t="s">
        <v>1083</v>
      </c>
      <c r="D121" s="2">
        <v>48.4</v>
      </c>
      <c r="E121" s="2" t="s">
        <v>1081</v>
      </c>
    </row>
    <row r="122" spans="1:5" x14ac:dyDescent="0.3">
      <c r="A122" s="2" t="s">
        <v>1204</v>
      </c>
      <c r="B122" s="2" t="s">
        <v>1079</v>
      </c>
      <c r="C122" s="2" t="s">
        <v>1080</v>
      </c>
      <c r="D122" s="2">
        <v>48.578571428571401</v>
      </c>
      <c r="E122" s="2" t="s">
        <v>1081</v>
      </c>
    </row>
    <row r="123" spans="1:5" x14ac:dyDescent="0.3">
      <c r="A123" s="2" t="s">
        <v>1205</v>
      </c>
      <c r="B123" s="2" t="s">
        <v>1082</v>
      </c>
      <c r="C123" s="2" t="s">
        <v>1083</v>
      </c>
      <c r="D123" s="2">
        <v>48.757142857142902</v>
      </c>
      <c r="E123" s="2" t="s">
        <v>1084</v>
      </c>
    </row>
    <row r="124" spans="1:5" x14ac:dyDescent="0.3">
      <c r="A124" s="2" t="s">
        <v>1206</v>
      </c>
      <c r="B124" s="2" t="s">
        <v>1085</v>
      </c>
      <c r="C124" s="2" t="s">
        <v>1086</v>
      </c>
      <c r="D124" s="2">
        <v>48.935714285714297</v>
      </c>
      <c r="E124" s="2" t="s">
        <v>1081</v>
      </c>
    </row>
    <row r="125" spans="1:5" x14ac:dyDescent="0.3">
      <c r="A125" s="2" t="s">
        <v>1207</v>
      </c>
      <c r="B125" s="2" t="s">
        <v>1087</v>
      </c>
      <c r="C125" s="2" t="s">
        <v>1086</v>
      </c>
      <c r="D125" s="2">
        <v>49.1142857142857</v>
      </c>
      <c r="E125" s="2" t="s">
        <v>1084</v>
      </c>
    </row>
    <row r="126" spans="1:5" x14ac:dyDescent="0.3">
      <c r="A126" s="2" t="s">
        <v>1208</v>
      </c>
      <c r="B126" s="2" t="s">
        <v>1088</v>
      </c>
      <c r="C126" s="2" t="s">
        <v>1083</v>
      </c>
      <c r="D126" s="2">
        <v>49.292857142857102</v>
      </c>
      <c r="E126" s="2" t="s">
        <v>1081</v>
      </c>
    </row>
    <row r="127" spans="1:5" x14ac:dyDescent="0.3">
      <c r="A127" s="2" t="s">
        <v>1209</v>
      </c>
      <c r="B127" s="2" t="s">
        <v>1089</v>
      </c>
      <c r="C127" s="2" t="s">
        <v>1086</v>
      </c>
      <c r="D127" s="2">
        <v>49.471428571428604</v>
      </c>
      <c r="E127" s="2" t="s">
        <v>1084</v>
      </c>
    </row>
    <row r="128" spans="1:5" x14ac:dyDescent="0.3">
      <c r="A128" s="2" t="s">
        <v>1210</v>
      </c>
      <c r="B128" s="2" t="s">
        <v>1090</v>
      </c>
      <c r="C128" s="2" t="s">
        <v>1083</v>
      </c>
      <c r="D128" s="2">
        <v>49.65</v>
      </c>
      <c r="E128" s="2" t="s">
        <v>1081</v>
      </c>
    </row>
    <row r="129" spans="1:5" x14ac:dyDescent="0.3">
      <c r="A129" s="2" t="s">
        <v>1211</v>
      </c>
      <c r="B129" s="2" t="s">
        <v>1091</v>
      </c>
      <c r="C129" s="2" t="s">
        <v>1086</v>
      </c>
      <c r="D129" s="2">
        <v>49.828571428571401</v>
      </c>
      <c r="E129" s="2" t="s">
        <v>1084</v>
      </c>
    </row>
    <row r="130" spans="1:5" x14ac:dyDescent="0.3">
      <c r="A130" s="2" t="s">
        <v>1212</v>
      </c>
      <c r="B130" s="2" t="s">
        <v>1092</v>
      </c>
      <c r="C130" s="2" t="s">
        <v>1083</v>
      </c>
      <c r="D130" s="2">
        <v>50.007142857142902</v>
      </c>
      <c r="E130" s="2" t="s">
        <v>1081</v>
      </c>
    </row>
    <row r="131" spans="1:5" x14ac:dyDescent="0.3">
      <c r="A131" s="2" t="s">
        <v>1213</v>
      </c>
      <c r="B131" s="2" t="s">
        <v>1093</v>
      </c>
      <c r="C131" s="2" t="s">
        <v>1086</v>
      </c>
      <c r="D131" s="2">
        <v>50.185714285714297</v>
      </c>
      <c r="E131" s="2" t="s">
        <v>1084</v>
      </c>
    </row>
    <row r="132" spans="1:5" x14ac:dyDescent="0.3">
      <c r="A132" s="2" t="s">
        <v>1214</v>
      </c>
      <c r="B132" s="2" t="s">
        <v>1094</v>
      </c>
      <c r="C132" s="2" t="s">
        <v>1083</v>
      </c>
      <c r="D132" s="2">
        <v>50.3642857142857</v>
      </c>
      <c r="E132" s="2" t="s">
        <v>1081</v>
      </c>
    </row>
    <row r="133" spans="1:5" x14ac:dyDescent="0.3">
      <c r="A133" s="2" t="s">
        <v>1215</v>
      </c>
      <c r="B133" s="2" t="s">
        <v>1095</v>
      </c>
      <c r="C133" s="2" t="s">
        <v>1086</v>
      </c>
      <c r="D133" s="2">
        <v>50.542857142857102</v>
      </c>
      <c r="E133" s="2" t="s">
        <v>1084</v>
      </c>
    </row>
    <row r="134" spans="1:5" x14ac:dyDescent="0.3">
      <c r="A134" s="2" t="s">
        <v>1216</v>
      </c>
      <c r="B134" s="2" t="s">
        <v>1096</v>
      </c>
      <c r="C134" s="2" t="s">
        <v>1083</v>
      </c>
      <c r="D134" s="2">
        <v>50.721428571428604</v>
      </c>
      <c r="E134" s="2" t="s">
        <v>1081</v>
      </c>
    </row>
    <row r="135" spans="1:5" x14ac:dyDescent="0.3">
      <c r="A135" s="2" t="s">
        <v>1217</v>
      </c>
      <c r="B135" s="2" t="s">
        <v>1097</v>
      </c>
      <c r="C135" s="2" t="s">
        <v>1086</v>
      </c>
      <c r="D135" s="2">
        <v>50.9</v>
      </c>
      <c r="E135" s="2" t="s">
        <v>1084</v>
      </c>
    </row>
    <row r="136" spans="1:5" x14ac:dyDescent="0.3">
      <c r="A136" s="2" t="s">
        <v>1218</v>
      </c>
      <c r="B136" s="2" t="s">
        <v>1098</v>
      </c>
      <c r="C136" s="2" t="s">
        <v>1083</v>
      </c>
      <c r="D136" s="2">
        <v>51.078571428571401</v>
      </c>
      <c r="E136" s="2" t="s">
        <v>1081</v>
      </c>
    </row>
    <row r="137" spans="1:5" x14ac:dyDescent="0.3">
      <c r="A137" s="2" t="s">
        <v>1219</v>
      </c>
      <c r="B137" s="2" t="s">
        <v>1079</v>
      </c>
      <c r="C137" s="2" t="s">
        <v>1080</v>
      </c>
      <c r="D137" s="2">
        <v>51.257142857142902</v>
      </c>
      <c r="E137" s="2" t="s">
        <v>1081</v>
      </c>
    </row>
    <row r="138" spans="1:5" x14ac:dyDescent="0.3">
      <c r="A138" s="2" t="s">
        <v>1220</v>
      </c>
      <c r="B138" s="2" t="s">
        <v>1082</v>
      </c>
      <c r="C138" s="2" t="s">
        <v>1083</v>
      </c>
      <c r="D138" s="2">
        <v>51.435714285714297</v>
      </c>
      <c r="E138" s="2" t="s">
        <v>1084</v>
      </c>
    </row>
    <row r="139" spans="1:5" x14ac:dyDescent="0.3">
      <c r="A139" s="2" t="s">
        <v>1221</v>
      </c>
      <c r="B139" s="2" t="s">
        <v>1085</v>
      </c>
      <c r="C139" s="2" t="s">
        <v>1086</v>
      </c>
      <c r="D139" s="2">
        <v>51.6142857142857</v>
      </c>
      <c r="E139" s="2" t="s">
        <v>1081</v>
      </c>
    </row>
    <row r="140" spans="1:5" x14ac:dyDescent="0.3">
      <c r="A140" s="2" t="s">
        <v>1222</v>
      </c>
      <c r="B140" s="2" t="s">
        <v>1087</v>
      </c>
      <c r="C140" s="2" t="s">
        <v>1086</v>
      </c>
      <c r="D140" s="2">
        <v>51.792857142857102</v>
      </c>
      <c r="E140" s="2" t="s">
        <v>1084</v>
      </c>
    </row>
    <row r="141" spans="1:5" x14ac:dyDescent="0.3">
      <c r="A141" s="2" t="s">
        <v>1223</v>
      </c>
      <c r="B141" s="2" t="s">
        <v>1088</v>
      </c>
      <c r="C141" s="2" t="s">
        <v>1083</v>
      </c>
      <c r="D141" s="2">
        <v>51.971428571428604</v>
      </c>
      <c r="E141" s="2" t="s">
        <v>1081</v>
      </c>
    </row>
    <row r="142" spans="1:5" x14ac:dyDescent="0.3">
      <c r="A142" s="2" t="s">
        <v>1224</v>
      </c>
      <c r="B142" s="2" t="s">
        <v>1089</v>
      </c>
      <c r="C142" s="2" t="s">
        <v>1086</v>
      </c>
      <c r="D142" s="2">
        <v>52.15</v>
      </c>
      <c r="E142" s="2" t="s">
        <v>1084</v>
      </c>
    </row>
    <row r="143" spans="1:5" x14ac:dyDescent="0.3">
      <c r="A143" s="2" t="s">
        <v>1225</v>
      </c>
      <c r="B143" s="2" t="s">
        <v>1090</v>
      </c>
      <c r="C143" s="2" t="s">
        <v>1083</v>
      </c>
      <c r="D143" s="2">
        <v>52.328571428571401</v>
      </c>
      <c r="E143" s="2" t="s">
        <v>1081</v>
      </c>
    </row>
    <row r="144" spans="1:5" x14ac:dyDescent="0.3">
      <c r="A144" s="2" t="s">
        <v>1226</v>
      </c>
      <c r="B144" s="2" t="s">
        <v>1091</v>
      </c>
      <c r="C144" s="2" t="s">
        <v>1086</v>
      </c>
      <c r="D144" s="2">
        <v>52.507142857142902</v>
      </c>
      <c r="E144" s="2" t="s">
        <v>1084</v>
      </c>
    </row>
    <row r="145" spans="1:5" x14ac:dyDescent="0.3">
      <c r="A145" s="2" t="s">
        <v>1227</v>
      </c>
      <c r="B145" s="2" t="s">
        <v>1092</v>
      </c>
      <c r="C145" s="2" t="s">
        <v>1083</v>
      </c>
      <c r="D145" s="2">
        <v>52.685714285714297</v>
      </c>
      <c r="E145" s="2" t="s">
        <v>1081</v>
      </c>
    </row>
    <row r="146" spans="1:5" x14ac:dyDescent="0.3">
      <c r="A146" s="2" t="s">
        <v>1228</v>
      </c>
      <c r="B146" s="2" t="s">
        <v>1093</v>
      </c>
      <c r="C146" s="2" t="s">
        <v>1086</v>
      </c>
      <c r="D146" s="2">
        <v>52.8642857142857</v>
      </c>
      <c r="E146" s="2" t="s">
        <v>1084</v>
      </c>
    </row>
    <row r="147" spans="1:5" x14ac:dyDescent="0.3">
      <c r="A147" s="2" t="s">
        <v>1229</v>
      </c>
      <c r="B147" s="2" t="s">
        <v>1094</v>
      </c>
      <c r="C147" s="2" t="s">
        <v>1083</v>
      </c>
      <c r="D147" s="2">
        <v>53.042857142857102</v>
      </c>
      <c r="E147" s="2" t="s">
        <v>1081</v>
      </c>
    </row>
    <row r="148" spans="1:5" x14ac:dyDescent="0.3">
      <c r="A148" s="2" t="s">
        <v>1230</v>
      </c>
      <c r="B148" s="2" t="s">
        <v>1095</v>
      </c>
      <c r="C148" s="2" t="s">
        <v>1086</v>
      </c>
      <c r="D148" s="2">
        <v>53.221428571428604</v>
      </c>
      <c r="E148" s="2" t="s">
        <v>1084</v>
      </c>
    </row>
    <row r="149" spans="1:5" x14ac:dyDescent="0.3">
      <c r="A149" s="2" t="s">
        <v>1231</v>
      </c>
      <c r="B149" s="2" t="s">
        <v>1096</v>
      </c>
      <c r="C149" s="2" t="s">
        <v>1083</v>
      </c>
      <c r="D149" s="2">
        <v>53.4</v>
      </c>
      <c r="E149" s="2" t="s">
        <v>1081</v>
      </c>
    </row>
    <row r="150" spans="1:5" x14ac:dyDescent="0.3">
      <c r="A150" s="2" t="s">
        <v>1232</v>
      </c>
      <c r="B150" s="2" t="s">
        <v>1097</v>
      </c>
      <c r="C150" s="2" t="s">
        <v>1086</v>
      </c>
      <c r="D150" s="2">
        <v>53.578571428571401</v>
      </c>
      <c r="E150" s="2" t="s">
        <v>1084</v>
      </c>
    </row>
    <row r="151" spans="1:5" x14ac:dyDescent="0.3">
      <c r="A151" s="2" t="s">
        <v>1233</v>
      </c>
      <c r="B151" s="2" t="s">
        <v>1098</v>
      </c>
      <c r="C151" s="2" t="s">
        <v>1083</v>
      </c>
      <c r="D151" s="2">
        <v>53.757142857142902</v>
      </c>
      <c r="E151" s="2" t="s">
        <v>1081</v>
      </c>
    </row>
    <row r="152" spans="1:5" x14ac:dyDescent="0.3">
      <c r="A152" s="2" t="s">
        <v>1234</v>
      </c>
      <c r="B152" s="2" t="s">
        <v>1079</v>
      </c>
      <c r="C152" s="2" t="s">
        <v>1080</v>
      </c>
      <c r="D152" s="2">
        <v>53.935714285714297</v>
      </c>
      <c r="E152" s="2" t="s">
        <v>1081</v>
      </c>
    </row>
    <row r="153" spans="1:5" x14ac:dyDescent="0.3">
      <c r="A153" s="2" t="s">
        <v>1235</v>
      </c>
      <c r="B153" s="2" t="s">
        <v>1082</v>
      </c>
      <c r="C153" s="2" t="s">
        <v>1083</v>
      </c>
      <c r="D153" s="2">
        <v>54.1142857142857</v>
      </c>
      <c r="E153" s="2" t="s">
        <v>1084</v>
      </c>
    </row>
    <row r="154" spans="1:5" x14ac:dyDescent="0.3">
      <c r="A154" s="2" t="s">
        <v>1236</v>
      </c>
      <c r="B154" s="2" t="s">
        <v>1085</v>
      </c>
      <c r="C154" s="2" t="s">
        <v>1086</v>
      </c>
      <c r="D154" s="2">
        <v>54.292857142857102</v>
      </c>
      <c r="E154" s="2" t="s">
        <v>1081</v>
      </c>
    </row>
    <row r="155" spans="1:5" x14ac:dyDescent="0.3">
      <c r="A155" s="2" t="s">
        <v>1237</v>
      </c>
      <c r="B155" s="2" t="s">
        <v>1087</v>
      </c>
      <c r="C155" s="2" t="s">
        <v>1086</v>
      </c>
      <c r="D155" s="2">
        <v>54.471428571428604</v>
      </c>
      <c r="E155" s="2" t="s">
        <v>1084</v>
      </c>
    </row>
    <row r="156" spans="1:5" x14ac:dyDescent="0.3">
      <c r="A156" s="2" t="s">
        <v>1238</v>
      </c>
      <c r="B156" s="2" t="s">
        <v>1088</v>
      </c>
      <c r="C156" s="2" t="s">
        <v>1083</v>
      </c>
      <c r="D156" s="2">
        <v>54.65</v>
      </c>
      <c r="E156" s="2" t="s">
        <v>1081</v>
      </c>
    </row>
    <row r="157" spans="1:5" x14ac:dyDescent="0.3">
      <c r="A157" s="2" t="s">
        <v>1239</v>
      </c>
      <c r="B157" s="2" t="s">
        <v>1089</v>
      </c>
      <c r="C157" s="2" t="s">
        <v>1086</v>
      </c>
      <c r="D157" s="2">
        <v>54.828571428571401</v>
      </c>
      <c r="E157" s="2" t="s">
        <v>1084</v>
      </c>
    </row>
    <row r="158" spans="1:5" x14ac:dyDescent="0.3">
      <c r="A158" s="2" t="s">
        <v>1240</v>
      </c>
      <c r="B158" s="2" t="s">
        <v>1090</v>
      </c>
      <c r="C158" s="2" t="s">
        <v>1083</v>
      </c>
      <c r="D158" s="2">
        <v>55.007142857142902</v>
      </c>
      <c r="E158" s="2" t="s">
        <v>1081</v>
      </c>
    </row>
    <row r="159" spans="1:5" x14ac:dyDescent="0.3">
      <c r="A159" s="2" t="s">
        <v>1241</v>
      </c>
      <c r="B159" s="2" t="s">
        <v>1091</v>
      </c>
      <c r="C159" s="2" t="s">
        <v>1086</v>
      </c>
      <c r="D159" s="2">
        <v>55.185714285714297</v>
      </c>
      <c r="E159" s="2" t="s">
        <v>1084</v>
      </c>
    </row>
    <row r="160" spans="1:5" x14ac:dyDescent="0.3">
      <c r="A160" s="2" t="s">
        <v>1242</v>
      </c>
      <c r="B160" s="2" t="s">
        <v>1092</v>
      </c>
      <c r="C160" s="2" t="s">
        <v>1083</v>
      </c>
      <c r="D160" s="2">
        <v>55.3642857142857</v>
      </c>
      <c r="E160" s="2" t="s">
        <v>1081</v>
      </c>
    </row>
    <row r="161" spans="1:5" x14ac:dyDescent="0.3">
      <c r="A161" s="2" t="s">
        <v>1243</v>
      </c>
      <c r="B161" s="2" t="s">
        <v>1093</v>
      </c>
      <c r="C161" s="2" t="s">
        <v>1086</v>
      </c>
      <c r="D161" s="2">
        <v>55.542857142857102</v>
      </c>
      <c r="E161" s="2" t="s">
        <v>1084</v>
      </c>
    </row>
    <row r="162" spans="1:5" x14ac:dyDescent="0.3">
      <c r="A162" s="2" t="s">
        <v>1244</v>
      </c>
      <c r="B162" s="2" t="s">
        <v>1094</v>
      </c>
      <c r="C162" s="2" t="s">
        <v>1083</v>
      </c>
      <c r="D162" s="2">
        <v>55.721428571428604</v>
      </c>
      <c r="E162" s="2" t="s">
        <v>1081</v>
      </c>
    </row>
    <row r="163" spans="1:5" x14ac:dyDescent="0.3">
      <c r="A163" s="2" t="s">
        <v>1245</v>
      </c>
      <c r="B163" s="2" t="s">
        <v>1095</v>
      </c>
      <c r="C163" s="2" t="s">
        <v>1086</v>
      </c>
      <c r="D163" s="2">
        <v>55.9</v>
      </c>
      <c r="E163" s="2" t="s">
        <v>1084</v>
      </c>
    </row>
    <row r="164" spans="1:5" x14ac:dyDescent="0.3">
      <c r="A164" s="2" t="s">
        <v>1246</v>
      </c>
      <c r="B164" s="2" t="s">
        <v>1096</v>
      </c>
      <c r="C164" s="2" t="s">
        <v>1083</v>
      </c>
      <c r="D164" s="2">
        <v>56.078571428571401</v>
      </c>
      <c r="E164" s="2" t="s">
        <v>1081</v>
      </c>
    </row>
    <row r="165" spans="1:5" x14ac:dyDescent="0.3">
      <c r="A165" s="2" t="s">
        <v>1247</v>
      </c>
      <c r="B165" s="2" t="s">
        <v>1097</v>
      </c>
      <c r="C165" s="2" t="s">
        <v>1086</v>
      </c>
      <c r="D165" s="2">
        <v>56.257142857142803</v>
      </c>
      <c r="E165" s="2" t="s">
        <v>1084</v>
      </c>
    </row>
    <row r="166" spans="1:5" x14ac:dyDescent="0.3">
      <c r="A166" s="2" t="s">
        <v>1248</v>
      </c>
      <c r="B166" s="2" t="s">
        <v>1098</v>
      </c>
      <c r="C166" s="2" t="s">
        <v>1083</v>
      </c>
      <c r="D166" s="2">
        <v>56.435714285714297</v>
      </c>
      <c r="E166" s="2" t="s">
        <v>1081</v>
      </c>
    </row>
    <row r="167" spans="1:5" x14ac:dyDescent="0.3">
      <c r="A167" s="2" t="s">
        <v>1249</v>
      </c>
      <c r="B167" s="2" t="s">
        <v>1079</v>
      </c>
      <c r="C167" s="2" t="s">
        <v>1080</v>
      </c>
      <c r="D167" s="2">
        <v>56.6142857142857</v>
      </c>
      <c r="E167" s="2" t="s">
        <v>1081</v>
      </c>
    </row>
    <row r="168" spans="1:5" x14ac:dyDescent="0.3">
      <c r="A168" s="2" t="s">
        <v>1250</v>
      </c>
      <c r="B168" s="2" t="s">
        <v>1082</v>
      </c>
      <c r="C168" s="2" t="s">
        <v>1083</v>
      </c>
      <c r="D168" s="2">
        <v>56.792857142857102</v>
      </c>
      <c r="E168" s="2" t="s">
        <v>1084</v>
      </c>
    </row>
    <row r="169" spans="1:5" x14ac:dyDescent="0.3">
      <c r="A169" s="2" t="s">
        <v>1251</v>
      </c>
      <c r="B169" s="2" t="s">
        <v>1085</v>
      </c>
      <c r="C169" s="2" t="s">
        <v>1086</v>
      </c>
      <c r="D169" s="2">
        <v>56.971428571428604</v>
      </c>
      <c r="E169" s="2" t="s">
        <v>1081</v>
      </c>
    </row>
    <row r="170" spans="1:5" x14ac:dyDescent="0.3">
      <c r="A170" s="2" t="s">
        <v>1252</v>
      </c>
      <c r="B170" s="2" t="s">
        <v>1087</v>
      </c>
      <c r="C170" s="2" t="s">
        <v>1086</v>
      </c>
      <c r="D170" s="2">
        <v>57.15</v>
      </c>
      <c r="E170" s="2" t="s">
        <v>1084</v>
      </c>
    </row>
    <row r="171" spans="1:5" x14ac:dyDescent="0.3">
      <c r="A171" s="2" t="s">
        <v>1253</v>
      </c>
      <c r="B171" s="2" t="s">
        <v>1088</v>
      </c>
      <c r="C171" s="2" t="s">
        <v>1083</v>
      </c>
      <c r="D171" s="2">
        <v>57.328571428571401</v>
      </c>
      <c r="E171" s="2" t="s">
        <v>1081</v>
      </c>
    </row>
    <row r="172" spans="1:5" x14ac:dyDescent="0.3">
      <c r="A172" s="2" t="s">
        <v>1254</v>
      </c>
      <c r="B172" s="2" t="s">
        <v>1089</v>
      </c>
      <c r="C172" s="2" t="s">
        <v>1086</v>
      </c>
      <c r="D172" s="2">
        <v>57.507142857142803</v>
      </c>
      <c r="E172" s="2" t="s">
        <v>1084</v>
      </c>
    </row>
    <row r="173" spans="1:5" x14ac:dyDescent="0.3">
      <c r="A173" s="2" t="s">
        <v>1255</v>
      </c>
      <c r="B173" s="2" t="s">
        <v>1090</v>
      </c>
      <c r="C173" s="2" t="s">
        <v>1083</v>
      </c>
      <c r="D173" s="2">
        <v>57.685714285714297</v>
      </c>
      <c r="E173" s="2" t="s">
        <v>1081</v>
      </c>
    </row>
    <row r="174" spans="1:5" x14ac:dyDescent="0.3">
      <c r="A174" s="2" t="s">
        <v>1256</v>
      </c>
      <c r="B174" s="2" t="s">
        <v>1091</v>
      </c>
      <c r="C174" s="2" t="s">
        <v>1086</v>
      </c>
      <c r="D174" s="2">
        <v>57.8642857142857</v>
      </c>
      <c r="E174" s="2" t="s">
        <v>1084</v>
      </c>
    </row>
    <row r="175" spans="1:5" x14ac:dyDescent="0.3">
      <c r="A175" s="2" t="s">
        <v>1257</v>
      </c>
      <c r="B175" s="2" t="s">
        <v>1092</v>
      </c>
      <c r="C175" s="2" t="s">
        <v>1083</v>
      </c>
      <c r="D175" s="2">
        <v>58.042857142857102</v>
      </c>
      <c r="E175" s="2" t="s">
        <v>1081</v>
      </c>
    </row>
    <row r="176" spans="1:5" x14ac:dyDescent="0.3">
      <c r="A176" s="2" t="s">
        <v>1258</v>
      </c>
      <c r="B176" s="2" t="s">
        <v>1093</v>
      </c>
      <c r="C176" s="2" t="s">
        <v>1086</v>
      </c>
      <c r="D176" s="2">
        <v>58.221428571428604</v>
      </c>
      <c r="E176" s="2" t="s">
        <v>1084</v>
      </c>
    </row>
    <row r="177" spans="1:5" x14ac:dyDescent="0.3">
      <c r="A177" s="2" t="s">
        <v>1259</v>
      </c>
      <c r="B177" s="2" t="s">
        <v>1094</v>
      </c>
      <c r="C177" s="2" t="s">
        <v>1083</v>
      </c>
      <c r="D177" s="2">
        <v>58.4</v>
      </c>
      <c r="E177" s="2" t="s">
        <v>1081</v>
      </c>
    </row>
    <row r="178" spans="1:5" x14ac:dyDescent="0.3">
      <c r="A178" s="2" t="s">
        <v>1260</v>
      </c>
      <c r="B178" s="2" t="s">
        <v>1095</v>
      </c>
      <c r="C178" s="2" t="s">
        <v>1086</v>
      </c>
      <c r="D178" s="2">
        <v>58.578571428571401</v>
      </c>
      <c r="E178" s="2" t="s">
        <v>1084</v>
      </c>
    </row>
    <row r="179" spans="1:5" x14ac:dyDescent="0.3">
      <c r="A179" s="2" t="s">
        <v>1261</v>
      </c>
      <c r="B179" s="2" t="s">
        <v>1096</v>
      </c>
      <c r="C179" s="2" t="s">
        <v>1083</v>
      </c>
      <c r="D179" s="2">
        <v>58.757142857142803</v>
      </c>
      <c r="E179" s="2" t="s">
        <v>1081</v>
      </c>
    </row>
    <row r="180" spans="1:5" x14ac:dyDescent="0.3">
      <c r="A180" s="2" t="s">
        <v>1262</v>
      </c>
      <c r="B180" s="2" t="s">
        <v>1097</v>
      </c>
      <c r="C180" s="2" t="s">
        <v>1086</v>
      </c>
      <c r="D180" s="2">
        <v>58.935714285714297</v>
      </c>
      <c r="E180" s="2" t="s">
        <v>1084</v>
      </c>
    </row>
    <row r="181" spans="1:5" x14ac:dyDescent="0.3">
      <c r="A181" s="2" t="s">
        <v>1263</v>
      </c>
      <c r="B181" s="2" t="s">
        <v>1098</v>
      </c>
      <c r="C181" s="2" t="s">
        <v>1083</v>
      </c>
      <c r="D181" s="2">
        <v>59.1142857142857</v>
      </c>
      <c r="E181" s="2" t="s">
        <v>1081</v>
      </c>
    </row>
    <row r="182" spans="1:5" x14ac:dyDescent="0.3">
      <c r="A182" s="2" t="s">
        <v>1264</v>
      </c>
      <c r="B182" s="2" t="s">
        <v>1079</v>
      </c>
      <c r="C182" s="2" t="s">
        <v>1080</v>
      </c>
      <c r="D182" s="2">
        <v>59.292857142857102</v>
      </c>
      <c r="E182" s="2" t="s">
        <v>1081</v>
      </c>
    </row>
    <row r="183" spans="1:5" x14ac:dyDescent="0.3">
      <c r="A183" s="2" t="s">
        <v>1265</v>
      </c>
      <c r="B183" s="2" t="s">
        <v>1082</v>
      </c>
      <c r="C183" s="2" t="s">
        <v>1083</v>
      </c>
      <c r="D183" s="2">
        <v>59.471428571428604</v>
      </c>
      <c r="E183" s="2" t="s">
        <v>1084</v>
      </c>
    </row>
    <row r="184" spans="1:5" x14ac:dyDescent="0.3">
      <c r="A184" s="2" t="s">
        <v>1266</v>
      </c>
      <c r="B184" s="2" t="s">
        <v>1085</v>
      </c>
      <c r="C184" s="2" t="s">
        <v>1086</v>
      </c>
      <c r="D184" s="2">
        <v>59.65</v>
      </c>
      <c r="E184" s="2" t="s">
        <v>1081</v>
      </c>
    </row>
    <row r="185" spans="1:5" x14ac:dyDescent="0.3">
      <c r="A185" s="2" t="s">
        <v>1267</v>
      </c>
      <c r="B185" s="2" t="s">
        <v>1087</v>
      </c>
      <c r="C185" s="2" t="s">
        <v>1086</v>
      </c>
      <c r="D185" s="2">
        <v>59.828571428571401</v>
      </c>
      <c r="E185" s="2" t="s">
        <v>1084</v>
      </c>
    </row>
    <row r="186" spans="1:5" x14ac:dyDescent="0.3">
      <c r="A186" s="2" t="s">
        <v>1268</v>
      </c>
      <c r="B186" s="2" t="s">
        <v>1088</v>
      </c>
      <c r="C186" s="2" t="s">
        <v>1083</v>
      </c>
      <c r="D186" s="2">
        <v>60.007142857142803</v>
      </c>
      <c r="E186" s="2" t="s">
        <v>1081</v>
      </c>
    </row>
    <row r="187" spans="1:5" x14ac:dyDescent="0.3">
      <c r="A187" s="2" t="s">
        <v>1269</v>
      </c>
      <c r="B187" s="2" t="s">
        <v>1089</v>
      </c>
      <c r="C187" s="2" t="s">
        <v>1086</v>
      </c>
      <c r="D187" s="2">
        <v>60.185714285714297</v>
      </c>
      <c r="E187" s="2" t="s">
        <v>1084</v>
      </c>
    </row>
    <row r="188" spans="1:5" x14ac:dyDescent="0.3">
      <c r="A188" s="2" t="s">
        <v>1270</v>
      </c>
      <c r="B188" s="2" t="s">
        <v>1090</v>
      </c>
      <c r="C188" s="2" t="s">
        <v>1083</v>
      </c>
      <c r="D188" s="2">
        <v>60.3642857142857</v>
      </c>
      <c r="E188" s="2" t="s">
        <v>1081</v>
      </c>
    </row>
    <row r="189" spans="1:5" x14ac:dyDescent="0.3">
      <c r="A189" s="2" t="s">
        <v>1271</v>
      </c>
      <c r="B189" s="2" t="s">
        <v>1091</v>
      </c>
      <c r="C189" s="2" t="s">
        <v>1086</v>
      </c>
      <c r="D189" s="2">
        <v>60.542857142857102</v>
      </c>
      <c r="E189" s="2" t="s">
        <v>1084</v>
      </c>
    </row>
    <row r="190" spans="1:5" x14ac:dyDescent="0.3">
      <c r="A190" s="2" t="s">
        <v>1272</v>
      </c>
      <c r="B190" s="2" t="s">
        <v>1092</v>
      </c>
      <c r="C190" s="2" t="s">
        <v>1083</v>
      </c>
      <c r="D190" s="2">
        <v>60.721428571428604</v>
      </c>
      <c r="E190" s="2" t="s">
        <v>1081</v>
      </c>
    </row>
    <row r="191" spans="1:5" x14ac:dyDescent="0.3">
      <c r="A191" s="2" t="s">
        <v>1273</v>
      </c>
      <c r="B191" s="2" t="s">
        <v>1093</v>
      </c>
      <c r="C191" s="2" t="s">
        <v>1086</v>
      </c>
      <c r="D191" s="2">
        <v>60.9</v>
      </c>
      <c r="E191" s="2" t="s">
        <v>1084</v>
      </c>
    </row>
    <row r="192" spans="1:5" x14ac:dyDescent="0.3">
      <c r="A192" s="2" t="s">
        <v>1274</v>
      </c>
      <c r="B192" s="2" t="s">
        <v>1094</v>
      </c>
      <c r="C192" s="2" t="s">
        <v>1083</v>
      </c>
      <c r="D192" s="2">
        <v>61.078571428571401</v>
      </c>
      <c r="E192" s="2" t="s">
        <v>1081</v>
      </c>
    </row>
    <row r="193" spans="1:5" x14ac:dyDescent="0.3">
      <c r="A193" s="2" t="s">
        <v>1275</v>
      </c>
      <c r="B193" s="2" t="s">
        <v>1095</v>
      </c>
      <c r="C193" s="2" t="s">
        <v>1086</v>
      </c>
      <c r="D193" s="2">
        <v>61.257142857142803</v>
      </c>
      <c r="E193" s="2" t="s">
        <v>1084</v>
      </c>
    </row>
    <row r="194" spans="1:5" x14ac:dyDescent="0.3">
      <c r="A194" s="2" t="s">
        <v>1276</v>
      </c>
      <c r="B194" s="2" t="s">
        <v>1096</v>
      </c>
      <c r="C194" s="2" t="s">
        <v>1083</v>
      </c>
      <c r="D194" s="2">
        <v>61.435714285714297</v>
      </c>
      <c r="E194" s="2" t="s">
        <v>1081</v>
      </c>
    </row>
    <row r="195" spans="1:5" x14ac:dyDescent="0.3">
      <c r="A195" s="2" t="s">
        <v>1277</v>
      </c>
      <c r="B195" s="2" t="s">
        <v>1097</v>
      </c>
      <c r="C195" s="2" t="s">
        <v>1086</v>
      </c>
      <c r="D195" s="2">
        <v>61.6142857142857</v>
      </c>
      <c r="E195" s="2" t="s">
        <v>1084</v>
      </c>
    </row>
    <row r="196" spans="1:5" x14ac:dyDescent="0.3">
      <c r="A196" s="2" t="s">
        <v>1278</v>
      </c>
      <c r="B196" s="2" t="s">
        <v>1098</v>
      </c>
      <c r="C196" s="2" t="s">
        <v>1083</v>
      </c>
      <c r="D196" s="2">
        <v>61.792857142857102</v>
      </c>
      <c r="E196" s="2" t="s">
        <v>1081</v>
      </c>
    </row>
    <row r="197" spans="1:5" x14ac:dyDescent="0.3">
      <c r="A197" s="2" t="s">
        <v>1279</v>
      </c>
      <c r="B197" s="2" t="s">
        <v>1079</v>
      </c>
      <c r="C197" s="2" t="s">
        <v>1080</v>
      </c>
      <c r="D197" s="2">
        <v>61.971428571428604</v>
      </c>
      <c r="E197" s="2" t="s">
        <v>1081</v>
      </c>
    </row>
    <row r="198" spans="1:5" x14ac:dyDescent="0.3">
      <c r="A198" s="2" t="s">
        <v>1280</v>
      </c>
      <c r="B198" s="2" t="s">
        <v>1082</v>
      </c>
      <c r="C198" s="2" t="s">
        <v>1083</v>
      </c>
      <c r="D198" s="2">
        <v>62.15</v>
      </c>
      <c r="E198" s="2" t="s">
        <v>1084</v>
      </c>
    </row>
    <row r="199" spans="1:5" x14ac:dyDescent="0.3">
      <c r="A199" s="2" t="s">
        <v>1281</v>
      </c>
      <c r="B199" s="2" t="s">
        <v>1085</v>
      </c>
      <c r="C199" s="2" t="s">
        <v>1086</v>
      </c>
      <c r="D199" s="2">
        <v>62.328571428571401</v>
      </c>
      <c r="E199" s="2" t="s">
        <v>1081</v>
      </c>
    </row>
    <row r="200" spans="1:5" x14ac:dyDescent="0.3">
      <c r="A200" s="2" t="s">
        <v>1282</v>
      </c>
      <c r="B200" s="2" t="s">
        <v>1087</v>
      </c>
      <c r="C200" s="2" t="s">
        <v>1086</v>
      </c>
      <c r="D200" s="2">
        <v>62.507142857142803</v>
      </c>
      <c r="E200" s="2" t="s">
        <v>1084</v>
      </c>
    </row>
    <row r="201" spans="1:5" x14ac:dyDescent="0.3">
      <c r="A201" s="2" t="s">
        <v>1283</v>
      </c>
      <c r="B201" s="2" t="s">
        <v>1088</v>
      </c>
      <c r="C201" s="2" t="s">
        <v>1083</v>
      </c>
      <c r="D201" s="2">
        <v>62.685714285714297</v>
      </c>
      <c r="E201" s="2" t="s">
        <v>1081</v>
      </c>
    </row>
    <row r="202" spans="1:5" x14ac:dyDescent="0.3">
      <c r="A202" s="2" t="s">
        <v>1284</v>
      </c>
      <c r="B202" s="2" t="s">
        <v>1089</v>
      </c>
      <c r="C202" s="2" t="s">
        <v>1086</v>
      </c>
      <c r="D202" s="2">
        <v>62.8642857142857</v>
      </c>
      <c r="E202" s="2" t="s">
        <v>1084</v>
      </c>
    </row>
    <row r="203" spans="1:5" x14ac:dyDescent="0.3">
      <c r="A203" s="2" t="s">
        <v>1285</v>
      </c>
      <c r="B203" s="2" t="s">
        <v>1090</v>
      </c>
      <c r="C203" s="2" t="s">
        <v>1083</v>
      </c>
      <c r="D203" s="2">
        <v>63.042857142857102</v>
      </c>
      <c r="E203" s="2" t="s">
        <v>1081</v>
      </c>
    </row>
    <row r="204" spans="1:5" x14ac:dyDescent="0.3">
      <c r="A204" s="2" t="s">
        <v>1286</v>
      </c>
      <c r="B204" s="2" t="s">
        <v>1091</v>
      </c>
      <c r="C204" s="2" t="s">
        <v>1086</v>
      </c>
      <c r="D204" s="2">
        <v>63.221428571428604</v>
      </c>
      <c r="E204" s="2" t="s">
        <v>1084</v>
      </c>
    </row>
    <row r="205" spans="1:5" x14ac:dyDescent="0.3">
      <c r="A205" s="2" t="s">
        <v>1287</v>
      </c>
      <c r="B205" s="2" t="s">
        <v>1092</v>
      </c>
      <c r="C205" s="2" t="s">
        <v>1083</v>
      </c>
      <c r="D205" s="2">
        <v>63.4</v>
      </c>
      <c r="E205" s="2" t="s">
        <v>1081</v>
      </c>
    </row>
    <row r="206" spans="1:5" x14ac:dyDescent="0.3">
      <c r="A206" s="2" t="s">
        <v>1288</v>
      </c>
      <c r="B206" s="2" t="s">
        <v>1093</v>
      </c>
      <c r="C206" s="2" t="s">
        <v>1086</v>
      </c>
      <c r="D206" s="2">
        <v>63.578571428571401</v>
      </c>
      <c r="E206" s="2" t="s">
        <v>1084</v>
      </c>
    </row>
    <row r="207" spans="1:5" x14ac:dyDescent="0.3">
      <c r="A207" s="2" t="s">
        <v>1289</v>
      </c>
      <c r="B207" s="2" t="s">
        <v>1094</v>
      </c>
      <c r="C207" s="2" t="s">
        <v>1083</v>
      </c>
      <c r="D207" s="2">
        <v>63.757142857142803</v>
      </c>
      <c r="E207" s="2" t="s">
        <v>1081</v>
      </c>
    </row>
    <row r="208" spans="1:5" x14ac:dyDescent="0.3">
      <c r="A208" s="2" t="s">
        <v>1290</v>
      </c>
      <c r="B208" s="2" t="s">
        <v>1095</v>
      </c>
      <c r="C208" s="2" t="s">
        <v>1086</v>
      </c>
      <c r="D208" s="2">
        <v>63.935714285714297</v>
      </c>
      <c r="E208" s="2" t="s">
        <v>1084</v>
      </c>
    </row>
    <row r="209" spans="1:5" x14ac:dyDescent="0.3">
      <c r="A209" s="2" t="s">
        <v>1291</v>
      </c>
      <c r="B209" s="2" t="s">
        <v>1096</v>
      </c>
      <c r="C209" s="2" t="s">
        <v>1083</v>
      </c>
      <c r="D209" s="2">
        <v>64.1142857142857</v>
      </c>
      <c r="E209" s="2" t="s">
        <v>1081</v>
      </c>
    </row>
    <row r="210" spans="1:5" x14ac:dyDescent="0.3">
      <c r="A210" s="2" t="s">
        <v>1292</v>
      </c>
      <c r="B210" s="2" t="s">
        <v>1097</v>
      </c>
      <c r="C210" s="2" t="s">
        <v>1086</v>
      </c>
      <c r="D210" s="2">
        <v>64.292857142857102</v>
      </c>
      <c r="E210" s="2" t="s">
        <v>1084</v>
      </c>
    </row>
    <row r="211" spans="1:5" x14ac:dyDescent="0.3">
      <c r="A211" s="2" t="s">
        <v>1293</v>
      </c>
      <c r="B211" s="2" t="s">
        <v>1098</v>
      </c>
      <c r="C211" s="2" t="s">
        <v>1083</v>
      </c>
      <c r="D211" s="2">
        <v>64.471428571428604</v>
      </c>
      <c r="E211" s="2" t="s">
        <v>1081</v>
      </c>
    </row>
    <row r="212" spans="1:5" x14ac:dyDescent="0.3">
      <c r="A212" s="2" t="s">
        <v>1294</v>
      </c>
      <c r="B212" s="2" t="s">
        <v>1079</v>
      </c>
      <c r="C212" s="2" t="s">
        <v>1080</v>
      </c>
      <c r="D212" s="2">
        <v>64.650000000000006</v>
      </c>
      <c r="E212" s="2" t="s">
        <v>1081</v>
      </c>
    </row>
    <row r="213" spans="1:5" x14ac:dyDescent="0.3">
      <c r="A213" s="2" t="s">
        <v>1295</v>
      </c>
      <c r="B213" s="2" t="s">
        <v>1082</v>
      </c>
      <c r="C213" s="2" t="s">
        <v>1083</v>
      </c>
      <c r="D213" s="2">
        <v>64.828571428571394</v>
      </c>
      <c r="E213" s="2" t="s">
        <v>1084</v>
      </c>
    </row>
    <row r="214" spans="1:5" x14ac:dyDescent="0.3">
      <c r="A214" s="2" t="s">
        <v>1296</v>
      </c>
      <c r="B214" s="2" t="s">
        <v>1085</v>
      </c>
      <c r="C214" s="2" t="s">
        <v>1086</v>
      </c>
      <c r="D214" s="2">
        <v>65.007142857142796</v>
      </c>
      <c r="E214" s="2" t="s">
        <v>1081</v>
      </c>
    </row>
    <row r="215" spans="1:5" x14ac:dyDescent="0.3">
      <c r="A215" s="2" t="s">
        <v>1297</v>
      </c>
      <c r="B215" s="2" t="s">
        <v>1087</v>
      </c>
      <c r="C215" s="2" t="s">
        <v>1086</v>
      </c>
      <c r="D215" s="2">
        <v>65.185714285714297</v>
      </c>
      <c r="E215" s="2" t="s">
        <v>1084</v>
      </c>
    </row>
    <row r="216" spans="1:5" x14ac:dyDescent="0.3">
      <c r="A216" s="2" t="s">
        <v>1298</v>
      </c>
      <c r="B216" s="2" t="s">
        <v>1088</v>
      </c>
      <c r="C216" s="2" t="s">
        <v>1083</v>
      </c>
      <c r="D216" s="2">
        <v>65.3642857142857</v>
      </c>
      <c r="E216" s="2" t="s">
        <v>1081</v>
      </c>
    </row>
    <row r="217" spans="1:5" x14ac:dyDescent="0.3">
      <c r="A217" s="2" t="s">
        <v>1299</v>
      </c>
      <c r="B217" s="2" t="s">
        <v>1089</v>
      </c>
      <c r="C217" s="2" t="s">
        <v>1086</v>
      </c>
      <c r="D217" s="2">
        <v>65.542857142857102</v>
      </c>
      <c r="E217" s="2" t="s">
        <v>1084</v>
      </c>
    </row>
    <row r="218" spans="1:5" x14ac:dyDescent="0.3">
      <c r="A218" s="2" t="s">
        <v>1300</v>
      </c>
      <c r="B218" s="2" t="s">
        <v>1090</v>
      </c>
      <c r="C218" s="2" t="s">
        <v>1083</v>
      </c>
      <c r="D218" s="2">
        <v>65.721428571428604</v>
      </c>
      <c r="E218" s="2" t="s">
        <v>1081</v>
      </c>
    </row>
    <row r="219" spans="1:5" x14ac:dyDescent="0.3">
      <c r="A219" s="2" t="s">
        <v>1301</v>
      </c>
      <c r="B219" s="2" t="s">
        <v>1091</v>
      </c>
      <c r="C219" s="2" t="s">
        <v>1086</v>
      </c>
      <c r="D219" s="2">
        <v>65.900000000000006</v>
      </c>
      <c r="E219" s="2" t="s">
        <v>1084</v>
      </c>
    </row>
    <row r="220" spans="1:5" x14ac:dyDescent="0.3">
      <c r="A220" s="2" t="s">
        <v>1302</v>
      </c>
      <c r="B220" s="2" t="s">
        <v>1092</v>
      </c>
      <c r="C220" s="2" t="s">
        <v>1083</v>
      </c>
      <c r="D220" s="2">
        <v>66.078571428571394</v>
      </c>
      <c r="E220" s="2" t="s">
        <v>1081</v>
      </c>
    </row>
    <row r="221" spans="1:5" x14ac:dyDescent="0.3">
      <c r="A221" s="2" t="s">
        <v>1303</v>
      </c>
      <c r="B221" s="2" t="s">
        <v>1093</v>
      </c>
      <c r="C221" s="2" t="s">
        <v>1086</v>
      </c>
      <c r="D221" s="2">
        <v>66.257142857142796</v>
      </c>
      <c r="E221" s="2" t="s">
        <v>1084</v>
      </c>
    </row>
    <row r="222" spans="1:5" x14ac:dyDescent="0.3">
      <c r="A222" s="2" t="s">
        <v>1304</v>
      </c>
      <c r="B222" s="2" t="s">
        <v>1094</v>
      </c>
      <c r="C222" s="2" t="s">
        <v>1083</v>
      </c>
      <c r="D222" s="2">
        <v>66.435714285714297</v>
      </c>
      <c r="E222" s="2" t="s">
        <v>1081</v>
      </c>
    </row>
    <row r="223" spans="1:5" x14ac:dyDescent="0.3">
      <c r="A223" s="2" t="s">
        <v>1305</v>
      </c>
      <c r="B223" s="2" t="s">
        <v>1095</v>
      </c>
      <c r="C223" s="2" t="s">
        <v>1086</v>
      </c>
      <c r="D223" s="2">
        <v>66.6142857142857</v>
      </c>
      <c r="E223" s="2" t="s">
        <v>1084</v>
      </c>
    </row>
    <row r="224" spans="1:5" x14ac:dyDescent="0.3">
      <c r="A224" s="2" t="s">
        <v>1306</v>
      </c>
      <c r="B224" s="2" t="s">
        <v>1096</v>
      </c>
      <c r="C224" s="2" t="s">
        <v>1083</v>
      </c>
      <c r="D224" s="2">
        <v>66.792857142857102</v>
      </c>
      <c r="E224" s="2" t="s">
        <v>1081</v>
      </c>
    </row>
    <row r="225" spans="1:5" x14ac:dyDescent="0.3">
      <c r="A225" s="2" t="s">
        <v>1307</v>
      </c>
      <c r="B225" s="2" t="s">
        <v>1097</v>
      </c>
      <c r="C225" s="2" t="s">
        <v>1086</v>
      </c>
      <c r="D225" s="2">
        <v>66.971428571428604</v>
      </c>
      <c r="E225" s="2" t="s">
        <v>1084</v>
      </c>
    </row>
    <row r="226" spans="1:5" x14ac:dyDescent="0.3">
      <c r="A226" s="2" t="s">
        <v>1308</v>
      </c>
      <c r="B226" s="2" t="s">
        <v>1098</v>
      </c>
      <c r="C226" s="2" t="s">
        <v>1083</v>
      </c>
      <c r="D226" s="2">
        <v>67.150000000000006</v>
      </c>
      <c r="E226" s="2" t="s">
        <v>1081</v>
      </c>
    </row>
    <row r="227" spans="1:5" x14ac:dyDescent="0.3">
      <c r="A227" s="2" t="s">
        <v>1309</v>
      </c>
      <c r="B227" s="2" t="s">
        <v>1079</v>
      </c>
      <c r="C227" s="2" t="s">
        <v>1080</v>
      </c>
      <c r="D227" s="2">
        <v>67.328571428571394</v>
      </c>
      <c r="E227" s="2" t="s">
        <v>1081</v>
      </c>
    </row>
    <row r="228" spans="1:5" x14ac:dyDescent="0.3">
      <c r="A228" s="2" t="s">
        <v>1310</v>
      </c>
      <c r="B228" s="2" t="s">
        <v>1082</v>
      </c>
      <c r="C228" s="2" t="s">
        <v>1083</v>
      </c>
      <c r="D228" s="2">
        <v>67.507142857142796</v>
      </c>
      <c r="E228" s="2" t="s">
        <v>1084</v>
      </c>
    </row>
    <row r="229" spans="1:5" x14ac:dyDescent="0.3">
      <c r="A229" s="2" t="s">
        <v>1311</v>
      </c>
      <c r="B229" s="2" t="s">
        <v>1085</v>
      </c>
      <c r="C229" s="2" t="s">
        <v>1086</v>
      </c>
      <c r="D229" s="2">
        <v>67.685714285714297</v>
      </c>
      <c r="E229" s="2" t="s">
        <v>1081</v>
      </c>
    </row>
    <row r="230" spans="1:5" x14ac:dyDescent="0.3">
      <c r="A230" s="2" t="s">
        <v>1312</v>
      </c>
      <c r="B230" s="2" t="s">
        <v>1087</v>
      </c>
      <c r="C230" s="2" t="s">
        <v>1086</v>
      </c>
      <c r="D230" s="2">
        <v>67.8642857142857</v>
      </c>
      <c r="E230" s="2" t="s">
        <v>1084</v>
      </c>
    </row>
    <row r="231" spans="1:5" x14ac:dyDescent="0.3">
      <c r="A231" s="2" t="s">
        <v>1313</v>
      </c>
      <c r="B231" s="2" t="s">
        <v>1088</v>
      </c>
      <c r="C231" s="2" t="s">
        <v>1083</v>
      </c>
      <c r="D231" s="2">
        <v>68.042857142857102</v>
      </c>
      <c r="E231" s="2" t="s">
        <v>1081</v>
      </c>
    </row>
    <row r="232" spans="1:5" x14ac:dyDescent="0.3">
      <c r="A232" s="2" t="s">
        <v>1314</v>
      </c>
      <c r="B232" s="2" t="s">
        <v>1089</v>
      </c>
      <c r="C232" s="2" t="s">
        <v>1086</v>
      </c>
      <c r="D232" s="2">
        <v>68.221428571428604</v>
      </c>
      <c r="E232" s="2" t="s">
        <v>1084</v>
      </c>
    </row>
    <row r="233" spans="1:5" x14ac:dyDescent="0.3">
      <c r="A233" s="2" t="s">
        <v>1315</v>
      </c>
      <c r="B233" s="2" t="s">
        <v>1090</v>
      </c>
      <c r="C233" s="2" t="s">
        <v>1083</v>
      </c>
      <c r="D233" s="2">
        <v>68.400000000000006</v>
      </c>
      <c r="E233" s="2" t="s">
        <v>1081</v>
      </c>
    </row>
    <row r="234" spans="1:5" x14ac:dyDescent="0.3">
      <c r="A234" s="2" t="s">
        <v>1316</v>
      </c>
      <c r="B234" s="2" t="s">
        <v>1091</v>
      </c>
      <c r="C234" s="2" t="s">
        <v>1086</v>
      </c>
      <c r="D234" s="2">
        <v>68.578571428571394</v>
      </c>
      <c r="E234" s="2" t="s">
        <v>1084</v>
      </c>
    </row>
    <row r="235" spans="1:5" x14ac:dyDescent="0.3">
      <c r="A235" s="2" t="s">
        <v>1317</v>
      </c>
      <c r="B235" s="2" t="s">
        <v>1092</v>
      </c>
      <c r="C235" s="2" t="s">
        <v>1083</v>
      </c>
      <c r="D235" s="2">
        <v>68.757142857142796</v>
      </c>
      <c r="E235" s="2" t="s">
        <v>1081</v>
      </c>
    </row>
    <row r="236" spans="1:5" x14ac:dyDescent="0.3">
      <c r="A236" s="2" t="s">
        <v>1318</v>
      </c>
      <c r="B236" s="2" t="s">
        <v>1093</v>
      </c>
      <c r="C236" s="2" t="s">
        <v>1086</v>
      </c>
      <c r="D236" s="2">
        <v>68.935714285714297</v>
      </c>
      <c r="E236" s="2" t="s">
        <v>1084</v>
      </c>
    </row>
    <row r="237" spans="1:5" x14ac:dyDescent="0.3">
      <c r="A237" s="2" t="s">
        <v>1319</v>
      </c>
      <c r="B237" s="2" t="s">
        <v>1094</v>
      </c>
      <c r="C237" s="2" t="s">
        <v>1083</v>
      </c>
      <c r="D237" s="2">
        <v>69.1142857142857</v>
      </c>
      <c r="E237" s="2" t="s">
        <v>1081</v>
      </c>
    </row>
    <row r="238" spans="1:5" x14ac:dyDescent="0.3">
      <c r="A238" s="2" t="s">
        <v>1320</v>
      </c>
      <c r="B238" s="2" t="s">
        <v>1095</v>
      </c>
      <c r="C238" s="2" t="s">
        <v>1086</v>
      </c>
      <c r="D238" s="2">
        <v>69.292857142857102</v>
      </c>
      <c r="E238" s="2" t="s">
        <v>1084</v>
      </c>
    </row>
    <row r="239" spans="1:5" x14ac:dyDescent="0.3">
      <c r="A239" s="2" t="s">
        <v>1321</v>
      </c>
      <c r="B239" s="2" t="s">
        <v>1096</v>
      </c>
      <c r="C239" s="2" t="s">
        <v>1083</v>
      </c>
      <c r="D239" s="2">
        <v>69.471428571428604</v>
      </c>
      <c r="E239" s="2" t="s">
        <v>1081</v>
      </c>
    </row>
    <row r="240" spans="1:5" x14ac:dyDescent="0.3">
      <c r="A240" s="2" t="s">
        <v>1322</v>
      </c>
      <c r="B240" s="2" t="s">
        <v>1097</v>
      </c>
      <c r="C240" s="2" t="s">
        <v>1086</v>
      </c>
      <c r="D240" s="2">
        <v>69.650000000000006</v>
      </c>
      <c r="E240" s="2" t="s">
        <v>1084</v>
      </c>
    </row>
    <row r="241" spans="1:5" x14ac:dyDescent="0.3">
      <c r="A241" s="2" t="s">
        <v>1323</v>
      </c>
      <c r="B241" s="2" t="s">
        <v>1098</v>
      </c>
      <c r="C241" s="2" t="s">
        <v>1083</v>
      </c>
      <c r="D241" s="2">
        <v>69.828571428571394</v>
      </c>
      <c r="E241" s="2" t="s">
        <v>1081</v>
      </c>
    </row>
    <row r="242" spans="1:5" x14ac:dyDescent="0.3">
      <c r="A242" s="2" t="s">
        <v>1324</v>
      </c>
      <c r="B242" s="2" t="s">
        <v>1079</v>
      </c>
      <c r="C242" s="2" t="s">
        <v>1080</v>
      </c>
      <c r="D242" s="2">
        <v>70.007142857142796</v>
      </c>
      <c r="E242" s="2" t="s">
        <v>1081</v>
      </c>
    </row>
    <row r="243" spans="1:5" x14ac:dyDescent="0.3">
      <c r="A243" s="2" t="s">
        <v>1325</v>
      </c>
      <c r="B243" s="2" t="s">
        <v>1082</v>
      </c>
      <c r="C243" s="2" t="s">
        <v>1083</v>
      </c>
      <c r="D243" s="2">
        <v>70.185714285714297</v>
      </c>
      <c r="E243" s="2" t="s">
        <v>1084</v>
      </c>
    </row>
    <row r="244" spans="1:5" x14ac:dyDescent="0.3">
      <c r="A244" s="2" t="s">
        <v>1326</v>
      </c>
      <c r="B244" s="2" t="s">
        <v>1085</v>
      </c>
      <c r="C244" s="2" t="s">
        <v>1086</v>
      </c>
      <c r="D244" s="2">
        <v>70.3642857142857</v>
      </c>
      <c r="E244" s="2" t="s">
        <v>1081</v>
      </c>
    </row>
    <row r="245" spans="1:5" x14ac:dyDescent="0.3">
      <c r="A245" s="2" t="s">
        <v>1327</v>
      </c>
      <c r="B245" s="2" t="s">
        <v>1087</v>
      </c>
      <c r="C245" s="2" t="s">
        <v>1086</v>
      </c>
      <c r="D245" s="2">
        <v>70.542857142857102</v>
      </c>
      <c r="E245" s="2" t="s">
        <v>1084</v>
      </c>
    </row>
    <row r="246" spans="1:5" x14ac:dyDescent="0.3">
      <c r="A246" s="2" t="s">
        <v>1328</v>
      </c>
      <c r="B246" s="2" t="s">
        <v>1088</v>
      </c>
      <c r="C246" s="2" t="s">
        <v>1083</v>
      </c>
      <c r="D246" s="2">
        <v>70.721428571428604</v>
      </c>
      <c r="E246" s="2" t="s">
        <v>1081</v>
      </c>
    </row>
    <row r="247" spans="1:5" x14ac:dyDescent="0.3">
      <c r="A247" s="2" t="s">
        <v>1329</v>
      </c>
      <c r="B247" s="2" t="s">
        <v>1089</v>
      </c>
      <c r="C247" s="2" t="s">
        <v>1086</v>
      </c>
      <c r="D247" s="2">
        <v>70.900000000000006</v>
      </c>
      <c r="E247" s="2" t="s">
        <v>1084</v>
      </c>
    </row>
    <row r="248" spans="1:5" x14ac:dyDescent="0.3">
      <c r="A248" s="2" t="s">
        <v>1330</v>
      </c>
      <c r="B248" s="2" t="s">
        <v>1090</v>
      </c>
      <c r="C248" s="2" t="s">
        <v>1083</v>
      </c>
      <c r="D248" s="2">
        <v>71.078571428571394</v>
      </c>
      <c r="E248" s="2" t="s">
        <v>1081</v>
      </c>
    </row>
    <row r="249" spans="1:5" x14ac:dyDescent="0.3">
      <c r="A249" s="2" t="s">
        <v>1331</v>
      </c>
      <c r="B249" s="2" t="s">
        <v>1091</v>
      </c>
      <c r="C249" s="2" t="s">
        <v>1086</v>
      </c>
      <c r="D249" s="2">
        <v>71.257142857142796</v>
      </c>
      <c r="E249" s="2" t="s">
        <v>1084</v>
      </c>
    </row>
    <row r="250" spans="1:5" x14ac:dyDescent="0.3">
      <c r="A250" s="2" t="s">
        <v>1332</v>
      </c>
      <c r="B250" s="2" t="s">
        <v>1092</v>
      </c>
      <c r="C250" s="2" t="s">
        <v>1083</v>
      </c>
      <c r="D250" s="2">
        <v>71.435714285714297</v>
      </c>
      <c r="E250" s="2" t="s">
        <v>1081</v>
      </c>
    </row>
    <row r="251" spans="1:5" x14ac:dyDescent="0.3">
      <c r="A251" s="2" t="s">
        <v>1333</v>
      </c>
      <c r="B251" s="2" t="s">
        <v>1093</v>
      </c>
      <c r="C251" s="2" t="s">
        <v>1086</v>
      </c>
      <c r="D251" s="2">
        <v>71.6142857142857</v>
      </c>
      <c r="E251" s="2" t="s">
        <v>1084</v>
      </c>
    </row>
    <row r="252" spans="1:5" x14ac:dyDescent="0.3">
      <c r="A252" s="2" t="s">
        <v>1334</v>
      </c>
      <c r="B252" s="2" t="s">
        <v>1094</v>
      </c>
      <c r="C252" s="2" t="s">
        <v>1083</v>
      </c>
      <c r="D252" s="2">
        <v>71.792857142857102</v>
      </c>
      <c r="E252" s="2" t="s">
        <v>1081</v>
      </c>
    </row>
    <row r="253" spans="1:5" x14ac:dyDescent="0.3">
      <c r="A253" s="2" t="s">
        <v>1335</v>
      </c>
      <c r="B253" s="2" t="s">
        <v>1095</v>
      </c>
      <c r="C253" s="2" t="s">
        <v>1086</v>
      </c>
      <c r="D253" s="2">
        <v>71.971428571428604</v>
      </c>
      <c r="E253" s="2" t="s">
        <v>1084</v>
      </c>
    </row>
    <row r="254" spans="1:5" x14ac:dyDescent="0.3">
      <c r="A254" s="2" t="s">
        <v>1336</v>
      </c>
      <c r="B254" s="2" t="s">
        <v>1096</v>
      </c>
      <c r="C254" s="2" t="s">
        <v>1083</v>
      </c>
      <c r="D254" s="2">
        <v>72.150000000000006</v>
      </c>
      <c r="E254" s="2" t="s">
        <v>1081</v>
      </c>
    </row>
    <row r="255" spans="1:5" x14ac:dyDescent="0.3">
      <c r="A255" s="2" t="s">
        <v>1337</v>
      </c>
      <c r="B255" s="2" t="s">
        <v>1097</v>
      </c>
      <c r="C255" s="2" t="s">
        <v>1086</v>
      </c>
      <c r="D255" s="2">
        <v>72.328571428571394</v>
      </c>
      <c r="E255" s="2" t="s">
        <v>1084</v>
      </c>
    </row>
    <row r="256" spans="1:5" x14ac:dyDescent="0.3">
      <c r="A256" s="2" t="s">
        <v>1338</v>
      </c>
      <c r="B256" s="2" t="s">
        <v>1098</v>
      </c>
      <c r="C256" s="2" t="s">
        <v>1083</v>
      </c>
      <c r="D256" s="2">
        <v>72.507142857142796</v>
      </c>
      <c r="E256" s="2" t="s">
        <v>1081</v>
      </c>
    </row>
    <row r="257" spans="1:5" x14ac:dyDescent="0.3">
      <c r="A257" s="2" t="s">
        <v>1339</v>
      </c>
      <c r="B257" s="2" t="s">
        <v>1079</v>
      </c>
      <c r="C257" s="2" t="s">
        <v>1080</v>
      </c>
      <c r="D257" s="2">
        <v>72.685714285714297</v>
      </c>
      <c r="E257" s="2" t="s">
        <v>1081</v>
      </c>
    </row>
    <row r="258" spans="1:5" x14ac:dyDescent="0.3">
      <c r="A258" s="2" t="s">
        <v>1340</v>
      </c>
      <c r="B258" s="2" t="s">
        <v>1082</v>
      </c>
      <c r="C258" s="2" t="s">
        <v>1083</v>
      </c>
      <c r="D258" s="2">
        <v>72.8642857142857</v>
      </c>
      <c r="E258" s="2" t="s">
        <v>1084</v>
      </c>
    </row>
    <row r="259" spans="1:5" x14ac:dyDescent="0.3">
      <c r="A259" s="2" t="s">
        <v>1341</v>
      </c>
      <c r="B259" s="2" t="s">
        <v>1085</v>
      </c>
      <c r="C259" s="2" t="s">
        <v>1086</v>
      </c>
      <c r="D259" s="2">
        <v>73.042857142857102</v>
      </c>
      <c r="E259" s="2" t="s">
        <v>1081</v>
      </c>
    </row>
    <row r="260" spans="1:5" x14ac:dyDescent="0.3">
      <c r="A260" s="2" t="s">
        <v>1342</v>
      </c>
      <c r="B260" s="2" t="s">
        <v>1087</v>
      </c>
      <c r="C260" s="2" t="s">
        <v>1086</v>
      </c>
      <c r="D260" s="2">
        <v>73.221428571428604</v>
      </c>
      <c r="E260" s="2" t="s">
        <v>1084</v>
      </c>
    </row>
    <row r="261" spans="1:5" x14ac:dyDescent="0.3">
      <c r="A261" s="2" t="s">
        <v>1343</v>
      </c>
      <c r="B261" s="2" t="s">
        <v>1088</v>
      </c>
      <c r="C261" s="2" t="s">
        <v>1083</v>
      </c>
      <c r="D261" s="2">
        <v>73.400000000000006</v>
      </c>
      <c r="E261" s="2" t="s">
        <v>1081</v>
      </c>
    </row>
    <row r="262" spans="1:5" x14ac:dyDescent="0.3">
      <c r="A262" s="2" t="s">
        <v>1344</v>
      </c>
      <c r="B262" s="2" t="s">
        <v>1089</v>
      </c>
      <c r="C262" s="2" t="s">
        <v>1086</v>
      </c>
      <c r="D262" s="2">
        <v>73.578571428571394</v>
      </c>
      <c r="E262" s="2" t="s">
        <v>1084</v>
      </c>
    </row>
    <row r="263" spans="1:5" x14ac:dyDescent="0.3">
      <c r="A263" s="2" t="s">
        <v>1345</v>
      </c>
      <c r="B263" s="2" t="s">
        <v>1090</v>
      </c>
      <c r="C263" s="2" t="s">
        <v>1083</v>
      </c>
      <c r="D263" s="2">
        <v>73.757142857142796</v>
      </c>
      <c r="E263" s="2" t="s">
        <v>1081</v>
      </c>
    </row>
    <row r="264" spans="1:5" x14ac:dyDescent="0.3">
      <c r="A264" s="2" t="s">
        <v>1346</v>
      </c>
      <c r="B264" s="2" t="s">
        <v>1091</v>
      </c>
      <c r="C264" s="2" t="s">
        <v>1086</v>
      </c>
      <c r="D264" s="2">
        <v>73.935714285714297</v>
      </c>
      <c r="E264" s="2" t="s">
        <v>1084</v>
      </c>
    </row>
    <row r="265" spans="1:5" x14ac:dyDescent="0.3">
      <c r="A265" s="2" t="s">
        <v>1347</v>
      </c>
      <c r="B265" s="2" t="s">
        <v>1092</v>
      </c>
      <c r="C265" s="2" t="s">
        <v>1083</v>
      </c>
      <c r="D265" s="2">
        <v>74.1142857142857</v>
      </c>
      <c r="E265" s="2" t="s">
        <v>1081</v>
      </c>
    </row>
    <row r="266" spans="1:5" x14ac:dyDescent="0.3">
      <c r="A266" s="2" t="s">
        <v>1348</v>
      </c>
      <c r="B266" s="2" t="s">
        <v>1093</v>
      </c>
      <c r="C266" s="2" t="s">
        <v>1086</v>
      </c>
      <c r="D266" s="2">
        <v>74.292857142857102</v>
      </c>
      <c r="E266" s="2" t="s">
        <v>1084</v>
      </c>
    </row>
    <row r="267" spans="1:5" x14ac:dyDescent="0.3">
      <c r="A267" s="2" t="s">
        <v>1349</v>
      </c>
      <c r="B267" s="2" t="s">
        <v>1094</v>
      </c>
      <c r="C267" s="2" t="s">
        <v>1083</v>
      </c>
      <c r="D267" s="2">
        <v>74.471428571428604</v>
      </c>
      <c r="E267" s="2" t="s">
        <v>1081</v>
      </c>
    </row>
    <row r="268" spans="1:5" x14ac:dyDescent="0.3">
      <c r="A268" s="2" t="s">
        <v>1350</v>
      </c>
      <c r="B268" s="2" t="s">
        <v>1095</v>
      </c>
      <c r="C268" s="2" t="s">
        <v>1086</v>
      </c>
      <c r="D268" s="2">
        <v>74.650000000000006</v>
      </c>
      <c r="E268" s="2" t="s">
        <v>1084</v>
      </c>
    </row>
    <row r="269" spans="1:5" x14ac:dyDescent="0.3">
      <c r="A269" s="2" t="s">
        <v>1351</v>
      </c>
      <c r="B269" s="2" t="s">
        <v>1096</v>
      </c>
      <c r="C269" s="2" t="s">
        <v>1083</v>
      </c>
      <c r="D269" s="2">
        <v>74.828571428571394</v>
      </c>
      <c r="E269" s="2" t="s">
        <v>1081</v>
      </c>
    </row>
    <row r="270" spans="1:5" x14ac:dyDescent="0.3">
      <c r="A270" s="2" t="s">
        <v>1352</v>
      </c>
      <c r="B270" s="2" t="s">
        <v>1097</v>
      </c>
      <c r="C270" s="2" t="s">
        <v>1086</v>
      </c>
      <c r="D270" s="2">
        <v>75.007142857142796</v>
      </c>
      <c r="E270" s="2" t="s">
        <v>1084</v>
      </c>
    </row>
    <row r="271" spans="1:5" x14ac:dyDescent="0.3">
      <c r="A271" s="2" t="s">
        <v>1353</v>
      </c>
      <c r="B271" s="2" t="s">
        <v>1098</v>
      </c>
      <c r="C271" s="2" t="s">
        <v>1083</v>
      </c>
      <c r="D271" s="2">
        <v>75.185714285714297</v>
      </c>
      <c r="E271" s="2" t="s">
        <v>1081</v>
      </c>
    </row>
    <row r="272" spans="1:5" x14ac:dyDescent="0.3">
      <c r="A272" s="2" t="s">
        <v>1354</v>
      </c>
      <c r="B272" s="2" t="s">
        <v>1079</v>
      </c>
      <c r="C272" s="2" t="s">
        <v>1080</v>
      </c>
      <c r="D272" s="2">
        <v>75.3642857142857</v>
      </c>
      <c r="E272" s="2" t="s">
        <v>1081</v>
      </c>
    </row>
    <row r="273" spans="1:5" x14ac:dyDescent="0.3">
      <c r="A273" s="2" t="s">
        <v>1355</v>
      </c>
      <c r="B273" s="2" t="s">
        <v>1082</v>
      </c>
      <c r="C273" s="2" t="s">
        <v>1083</v>
      </c>
      <c r="D273" s="2">
        <v>75.542857142857102</v>
      </c>
      <c r="E273" s="2" t="s">
        <v>1084</v>
      </c>
    </row>
    <row r="274" spans="1:5" x14ac:dyDescent="0.3">
      <c r="A274" s="2" t="s">
        <v>1356</v>
      </c>
      <c r="B274" s="2" t="s">
        <v>1085</v>
      </c>
      <c r="C274" s="2" t="s">
        <v>1086</v>
      </c>
      <c r="D274" s="2">
        <v>75.721428571428604</v>
      </c>
      <c r="E274" s="2" t="s">
        <v>1081</v>
      </c>
    </row>
    <row r="275" spans="1:5" x14ac:dyDescent="0.3">
      <c r="A275" s="2" t="s">
        <v>1357</v>
      </c>
      <c r="B275" s="2" t="s">
        <v>1087</v>
      </c>
      <c r="C275" s="2" t="s">
        <v>1086</v>
      </c>
      <c r="D275" s="2">
        <v>75.900000000000006</v>
      </c>
      <c r="E275" s="2" t="s">
        <v>1084</v>
      </c>
    </row>
    <row r="276" spans="1:5" x14ac:dyDescent="0.3">
      <c r="A276" s="2" t="s">
        <v>1358</v>
      </c>
      <c r="B276" s="2" t="s">
        <v>1088</v>
      </c>
      <c r="C276" s="2" t="s">
        <v>1083</v>
      </c>
      <c r="D276" s="2">
        <v>76.078571428571394</v>
      </c>
      <c r="E276" s="2" t="s">
        <v>1081</v>
      </c>
    </row>
    <row r="277" spans="1:5" x14ac:dyDescent="0.3">
      <c r="A277" s="2" t="s">
        <v>1359</v>
      </c>
      <c r="B277" s="2" t="s">
        <v>1089</v>
      </c>
      <c r="C277" s="2" t="s">
        <v>1086</v>
      </c>
      <c r="D277" s="2">
        <v>76.257142857142796</v>
      </c>
      <c r="E277" s="2" t="s">
        <v>1084</v>
      </c>
    </row>
    <row r="278" spans="1:5" x14ac:dyDescent="0.3">
      <c r="A278" s="2" t="s">
        <v>1360</v>
      </c>
      <c r="B278" s="2" t="s">
        <v>1090</v>
      </c>
      <c r="C278" s="2" t="s">
        <v>1083</v>
      </c>
      <c r="D278" s="2">
        <v>76.435714285714297</v>
      </c>
      <c r="E278" s="2" t="s">
        <v>1081</v>
      </c>
    </row>
    <row r="279" spans="1:5" x14ac:dyDescent="0.3">
      <c r="A279" s="2" t="s">
        <v>1361</v>
      </c>
      <c r="B279" s="2" t="s">
        <v>1091</v>
      </c>
      <c r="C279" s="2" t="s">
        <v>1086</v>
      </c>
      <c r="D279" s="2">
        <v>76.6142857142857</v>
      </c>
      <c r="E279" s="2" t="s">
        <v>1084</v>
      </c>
    </row>
    <row r="280" spans="1:5" x14ac:dyDescent="0.3">
      <c r="A280" s="2" t="s">
        <v>1362</v>
      </c>
      <c r="B280" s="2" t="s">
        <v>1092</v>
      </c>
      <c r="C280" s="2" t="s">
        <v>1083</v>
      </c>
      <c r="D280" s="2">
        <v>76.792857142857102</v>
      </c>
      <c r="E280" s="2" t="s">
        <v>1081</v>
      </c>
    </row>
    <row r="281" spans="1:5" x14ac:dyDescent="0.3">
      <c r="A281" s="2" t="s">
        <v>1363</v>
      </c>
      <c r="B281" s="2" t="s">
        <v>1093</v>
      </c>
      <c r="C281" s="2" t="s">
        <v>1086</v>
      </c>
      <c r="D281" s="2">
        <v>76.971428571428604</v>
      </c>
      <c r="E281" s="2" t="s">
        <v>1084</v>
      </c>
    </row>
    <row r="282" spans="1:5" x14ac:dyDescent="0.3">
      <c r="A282" s="2" t="s">
        <v>1364</v>
      </c>
      <c r="B282" s="2" t="s">
        <v>1094</v>
      </c>
      <c r="C282" s="2" t="s">
        <v>1083</v>
      </c>
      <c r="D282" s="2">
        <v>77.150000000000006</v>
      </c>
      <c r="E282" s="2" t="s">
        <v>1081</v>
      </c>
    </row>
    <row r="283" spans="1:5" x14ac:dyDescent="0.3">
      <c r="A283" s="2" t="s">
        <v>1365</v>
      </c>
      <c r="B283" s="2" t="s">
        <v>1095</v>
      </c>
      <c r="C283" s="2" t="s">
        <v>1086</v>
      </c>
      <c r="D283" s="2">
        <v>77.328571428571394</v>
      </c>
      <c r="E283" s="2" t="s">
        <v>1084</v>
      </c>
    </row>
    <row r="284" spans="1:5" x14ac:dyDescent="0.3">
      <c r="A284" s="2" t="s">
        <v>1366</v>
      </c>
      <c r="B284" s="2" t="s">
        <v>1096</v>
      </c>
      <c r="C284" s="2" t="s">
        <v>1083</v>
      </c>
      <c r="D284" s="2">
        <v>77.507142857142796</v>
      </c>
      <c r="E284" s="2" t="s">
        <v>1081</v>
      </c>
    </row>
    <row r="285" spans="1:5" x14ac:dyDescent="0.3">
      <c r="A285" s="2" t="s">
        <v>1367</v>
      </c>
      <c r="B285" s="2" t="s">
        <v>1097</v>
      </c>
      <c r="C285" s="2" t="s">
        <v>1086</v>
      </c>
      <c r="D285" s="2">
        <v>77.685714285714297</v>
      </c>
      <c r="E285" s="2" t="s">
        <v>1084</v>
      </c>
    </row>
    <row r="286" spans="1:5" x14ac:dyDescent="0.3">
      <c r="A286" s="2" t="s">
        <v>1368</v>
      </c>
      <c r="B286" s="2" t="s">
        <v>1098</v>
      </c>
      <c r="C286" s="2" t="s">
        <v>1083</v>
      </c>
      <c r="D286" s="2">
        <v>77.8642857142857</v>
      </c>
      <c r="E286" s="2" t="s">
        <v>1081</v>
      </c>
    </row>
    <row r="287" spans="1:5" x14ac:dyDescent="0.3">
      <c r="A287" s="2" t="s">
        <v>1369</v>
      </c>
      <c r="B287" s="2" t="s">
        <v>1079</v>
      </c>
      <c r="C287" s="2" t="s">
        <v>1080</v>
      </c>
      <c r="D287" s="2">
        <v>78.042857142857102</v>
      </c>
      <c r="E287" s="2" t="s">
        <v>1081</v>
      </c>
    </row>
    <row r="288" spans="1:5" x14ac:dyDescent="0.3">
      <c r="A288" s="2" t="s">
        <v>1370</v>
      </c>
      <c r="B288" s="2" t="s">
        <v>1082</v>
      </c>
      <c r="C288" s="2" t="s">
        <v>1083</v>
      </c>
      <c r="D288" s="2">
        <v>78.221428571428604</v>
      </c>
      <c r="E288" s="2" t="s">
        <v>1084</v>
      </c>
    </row>
    <row r="289" spans="1:5" x14ac:dyDescent="0.3">
      <c r="A289" s="2" t="s">
        <v>1371</v>
      </c>
      <c r="B289" s="2" t="s">
        <v>1085</v>
      </c>
      <c r="C289" s="2" t="s">
        <v>1086</v>
      </c>
      <c r="D289" s="2">
        <v>78.400000000000006</v>
      </c>
      <c r="E289" s="2" t="s">
        <v>1081</v>
      </c>
    </row>
    <row r="290" spans="1:5" x14ac:dyDescent="0.3">
      <c r="A290" s="2" t="s">
        <v>1372</v>
      </c>
      <c r="B290" s="2" t="s">
        <v>1087</v>
      </c>
      <c r="C290" s="2" t="s">
        <v>1086</v>
      </c>
      <c r="D290" s="2">
        <v>78.578571428571394</v>
      </c>
      <c r="E290" s="2" t="s">
        <v>1084</v>
      </c>
    </row>
    <row r="291" spans="1:5" x14ac:dyDescent="0.3">
      <c r="A291" s="2" t="s">
        <v>1373</v>
      </c>
      <c r="B291" s="2" t="s">
        <v>1088</v>
      </c>
      <c r="C291" s="2" t="s">
        <v>1083</v>
      </c>
      <c r="D291" s="2">
        <v>78.757142857142796</v>
      </c>
      <c r="E291" s="2" t="s">
        <v>1081</v>
      </c>
    </row>
    <row r="292" spans="1:5" x14ac:dyDescent="0.3">
      <c r="A292" s="2" t="s">
        <v>1374</v>
      </c>
      <c r="B292" s="2" t="s">
        <v>1089</v>
      </c>
      <c r="C292" s="2" t="s">
        <v>1086</v>
      </c>
      <c r="D292" s="2">
        <v>78.935714285714297</v>
      </c>
      <c r="E292" s="2" t="s">
        <v>1084</v>
      </c>
    </row>
    <row r="293" spans="1:5" x14ac:dyDescent="0.3">
      <c r="A293" s="2" t="s">
        <v>1375</v>
      </c>
      <c r="B293" s="2" t="s">
        <v>1090</v>
      </c>
      <c r="C293" s="2" t="s">
        <v>1083</v>
      </c>
      <c r="D293" s="2">
        <v>79.1142857142857</v>
      </c>
      <c r="E293" s="2" t="s">
        <v>1081</v>
      </c>
    </row>
    <row r="294" spans="1:5" x14ac:dyDescent="0.3">
      <c r="A294" s="2" t="s">
        <v>1376</v>
      </c>
      <c r="B294" s="2" t="s">
        <v>1091</v>
      </c>
      <c r="C294" s="2" t="s">
        <v>1086</v>
      </c>
      <c r="D294" s="2">
        <v>79.292857142857102</v>
      </c>
      <c r="E294" s="2" t="s">
        <v>1084</v>
      </c>
    </row>
    <row r="295" spans="1:5" x14ac:dyDescent="0.3">
      <c r="A295" s="2" t="s">
        <v>1377</v>
      </c>
      <c r="B295" s="2" t="s">
        <v>1092</v>
      </c>
      <c r="C295" s="2" t="s">
        <v>1083</v>
      </c>
      <c r="D295" s="2">
        <v>79.471428571428604</v>
      </c>
      <c r="E295" s="2" t="s">
        <v>1081</v>
      </c>
    </row>
    <row r="296" spans="1:5" x14ac:dyDescent="0.3">
      <c r="A296" s="2" t="s">
        <v>1378</v>
      </c>
      <c r="B296" s="2" t="s">
        <v>1093</v>
      </c>
      <c r="C296" s="2" t="s">
        <v>1086</v>
      </c>
      <c r="D296" s="2">
        <v>79.650000000000006</v>
      </c>
      <c r="E296" s="2" t="s">
        <v>1084</v>
      </c>
    </row>
    <row r="297" spans="1:5" x14ac:dyDescent="0.3">
      <c r="A297" s="2" t="s">
        <v>1379</v>
      </c>
      <c r="B297" s="2" t="s">
        <v>1094</v>
      </c>
      <c r="C297" s="2" t="s">
        <v>1083</v>
      </c>
      <c r="D297" s="2">
        <v>79.828571428571394</v>
      </c>
      <c r="E297" s="2" t="s">
        <v>1081</v>
      </c>
    </row>
    <row r="298" spans="1:5" x14ac:dyDescent="0.3">
      <c r="A298" s="2" t="s">
        <v>1380</v>
      </c>
      <c r="B298" s="2" t="s">
        <v>1095</v>
      </c>
      <c r="C298" s="2" t="s">
        <v>1086</v>
      </c>
      <c r="D298" s="2">
        <v>80.007142857142796</v>
      </c>
      <c r="E298" s="2" t="s">
        <v>1084</v>
      </c>
    </row>
    <row r="299" spans="1:5" x14ac:dyDescent="0.3">
      <c r="A299" s="2" t="s">
        <v>1381</v>
      </c>
      <c r="B299" s="2" t="s">
        <v>1096</v>
      </c>
      <c r="C299" s="2" t="s">
        <v>1083</v>
      </c>
      <c r="D299" s="2">
        <v>80.185714285714297</v>
      </c>
      <c r="E299" s="2" t="s">
        <v>1081</v>
      </c>
    </row>
    <row r="300" spans="1:5" x14ac:dyDescent="0.3">
      <c r="A300" s="2" t="s">
        <v>1382</v>
      </c>
      <c r="B300" s="2" t="s">
        <v>1097</v>
      </c>
      <c r="C300" s="2" t="s">
        <v>1086</v>
      </c>
      <c r="D300" s="2">
        <v>80.3642857142857</v>
      </c>
      <c r="E300" s="2" t="s">
        <v>1084</v>
      </c>
    </row>
    <row r="301" spans="1:5" x14ac:dyDescent="0.3">
      <c r="A301" s="2" t="s">
        <v>1383</v>
      </c>
      <c r="B301" s="2" t="s">
        <v>1098</v>
      </c>
      <c r="C301" s="2" t="s">
        <v>1083</v>
      </c>
      <c r="D301" s="2">
        <v>80.542857142857102</v>
      </c>
      <c r="E301" s="2" t="s">
        <v>1081</v>
      </c>
    </row>
    <row r="302" spans="1:5" x14ac:dyDescent="0.3">
      <c r="A302" s="2" t="s">
        <v>1384</v>
      </c>
      <c r="B302" s="2" t="s">
        <v>1079</v>
      </c>
      <c r="C302" s="2" t="s">
        <v>1080</v>
      </c>
      <c r="D302" s="2">
        <v>80.721428571428604</v>
      </c>
      <c r="E302" s="2" t="s">
        <v>1081</v>
      </c>
    </row>
    <row r="303" spans="1:5" x14ac:dyDescent="0.3">
      <c r="A303" s="2" t="s">
        <v>1385</v>
      </c>
      <c r="B303" s="2" t="s">
        <v>1082</v>
      </c>
      <c r="C303" s="2" t="s">
        <v>1083</v>
      </c>
      <c r="D303" s="2">
        <v>80.900000000000006</v>
      </c>
      <c r="E303" s="2" t="s">
        <v>1084</v>
      </c>
    </row>
    <row r="304" spans="1:5" x14ac:dyDescent="0.3">
      <c r="A304" s="2" t="s">
        <v>1386</v>
      </c>
      <c r="B304" s="2" t="s">
        <v>1085</v>
      </c>
      <c r="C304" s="2" t="s">
        <v>1086</v>
      </c>
      <c r="D304" s="2">
        <v>81.078571428571394</v>
      </c>
      <c r="E304" s="2" t="s">
        <v>1081</v>
      </c>
    </row>
    <row r="305" spans="1:5" x14ac:dyDescent="0.3">
      <c r="A305" s="2" t="s">
        <v>1387</v>
      </c>
      <c r="B305" s="2" t="s">
        <v>1087</v>
      </c>
      <c r="C305" s="2" t="s">
        <v>1086</v>
      </c>
      <c r="D305" s="2">
        <v>81.257142857142796</v>
      </c>
      <c r="E305" s="2" t="s">
        <v>1084</v>
      </c>
    </row>
    <row r="306" spans="1:5" x14ac:dyDescent="0.3">
      <c r="A306" s="2" t="s">
        <v>1388</v>
      </c>
      <c r="B306" s="2" t="s">
        <v>1088</v>
      </c>
      <c r="C306" s="2" t="s">
        <v>1083</v>
      </c>
      <c r="D306" s="2">
        <v>81.435714285714297</v>
      </c>
      <c r="E306" s="2" t="s">
        <v>1081</v>
      </c>
    </row>
    <row r="307" spans="1:5" x14ac:dyDescent="0.3">
      <c r="A307" s="2" t="s">
        <v>1389</v>
      </c>
      <c r="B307" s="2" t="s">
        <v>1089</v>
      </c>
      <c r="C307" s="2" t="s">
        <v>1086</v>
      </c>
      <c r="D307" s="2">
        <v>81.6142857142857</v>
      </c>
      <c r="E307" s="2" t="s">
        <v>1084</v>
      </c>
    </row>
    <row r="308" spans="1:5" x14ac:dyDescent="0.3">
      <c r="A308" s="2" t="s">
        <v>1390</v>
      </c>
      <c r="B308" s="2" t="s">
        <v>1090</v>
      </c>
      <c r="C308" s="2" t="s">
        <v>1083</v>
      </c>
      <c r="D308" s="2">
        <v>81.792857142857102</v>
      </c>
      <c r="E308" s="2" t="s">
        <v>1081</v>
      </c>
    </row>
    <row r="309" spans="1:5" x14ac:dyDescent="0.3">
      <c r="A309" s="2" t="s">
        <v>1391</v>
      </c>
      <c r="B309" s="2" t="s">
        <v>1091</v>
      </c>
      <c r="C309" s="2" t="s">
        <v>1086</v>
      </c>
      <c r="D309" s="2">
        <v>81.971428571428604</v>
      </c>
      <c r="E309" s="2" t="s">
        <v>1084</v>
      </c>
    </row>
    <row r="310" spans="1:5" x14ac:dyDescent="0.3">
      <c r="A310" s="2" t="s">
        <v>1392</v>
      </c>
      <c r="B310" s="2" t="s">
        <v>1092</v>
      </c>
      <c r="C310" s="2" t="s">
        <v>1083</v>
      </c>
      <c r="D310" s="2">
        <v>82.15</v>
      </c>
      <c r="E310" s="2" t="s">
        <v>1081</v>
      </c>
    </row>
    <row r="311" spans="1:5" x14ac:dyDescent="0.3">
      <c r="A311" s="2" t="s">
        <v>1393</v>
      </c>
      <c r="B311" s="2" t="s">
        <v>1093</v>
      </c>
      <c r="C311" s="2" t="s">
        <v>1086</v>
      </c>
      <c r="D311" s="2">
        <v>82.328571428571394</v>
      </c>
      <c r="E311" s="2" t="s">
        <v>1084</v>
      </c>
    </row>
    <row r="312" spans="1:5" x14ac:dyDescent="0.3">
      <c r="A312" s="2" t="s">
        <v>1394</v>
      </c>
      <c r="B312" s="2" t="s">
        <v>1094</v>
      </c>
      <c r="C312" s="2" t="s">
        <v>1083</v>
      </c>
      <c r="D312" s="2">
        <v>82.507142857142796</v>
      </c>
      <c r="E312" s="2" t="s">
        <v>1081</v>
      </c>
    </row>
    <row r="313" spans="1:5" x14ac:dyDescent="0.3">
      <c r="A313" s="2" t="s">
        <v>1395</v>
      </c>
      <c r="B313" s="2" t="s">
        <v>1095</v>
      </c>
      <c r="C313" s="2" t="s">
        <v>1086</v>
      </c>
      <c r="D313" s="2">
        <v>82.685714285714297</v>
      </c>
      <c r="E313" s="2" t="s">
        <v>1084</v>
      </c>
    </row>
    <row r="314" spans="1:5" x14ac:dyDescent="0.3">
      <c r="A314" s="2" t="s">
        <v>1396</v>
      </c>
      <c r="B314" s="2" t="s">
        <v>1096</v>
      </c>
      <c r="C314" s="2" t="s">
        <v>1083</v>
      </c>
      <c r="D314" s="2">
        <v>82.8642857142857</v>
      </c>
      <c r="E314" s="2" t="s">
        <v>1081</v>
      </c>
    </row>
    <row r="315" spans="1:5" x14ac:dyDescent="0.3">
      <c r="A315" s="2" t="s">
        <v>1397</v>
      </c>
      <c r="B315" s="2" t="s">
        <v>1097</v>
      </c>
      <c r="C315" s="2" t="s">
        <v>1086</v>
      </c>
      <c r="D315" s="2">
        <v>83.042857142857102</v>
      </c>
      <c r="E315" s="2" t="s">
        <v>1084</v>
      </c>
    </row>
    <row r="316" spans="1:5" x14ac:dyDescent="0.3">
      <c r="A316" s="2" t="s">
        <v>1398</v>
      </c>
      <c r="B316" s="2" t="s">
        <v>1098</v>
      </c>
      <c r="C316" s="2" t="s">
        <v>1083</v>
      </c>
      <c r="D316" s="2">
        <v>83.221428571428604</v>
      </c>
      <c r="E316" s="2" t="s">
        <v>1081</v>
      </c>
    </row>
    <row r="317" spans="1:5" x14ac:dyDescent="0.3">
      <c r="A317" s="2" t="s">
        <v>1399</v>
      </c>
      <c r="B317" s="2" t="s">
        <v>1079</v>
      </c>
      <c r="C317" s="2" t="s">
        <v>1080</v>
      </c>
      <c r="D317" s="2">
        <v>83.4</v>
      </c>
      <c r="E317" s="2" t="s">
        <v>1081</v>
      </c>
    </row>
    <row r="318" spans="1:5" x14ac:dyDescent="0.3">
      <c r="A318" s="2" t="s">
        <v>1400</v>
      </c>
      <c r="B318" s="2" t="s">
        <v>1082</v>
      </c>
      <c r="C318" s="2" t="s">
        <v>1083</v>
      </c>
      <c r="D318" s="2">
        <v>83.578571428571394</v>
      </c>
      <c r="E318" s="2" t="s">
        <v>1084</v>
      </c>
    </row>
    <row r="319" spans="1:5" x14ac:dyDescent="0.3">
      <c r="A319" s="2" t="s">
        <v>1401</v>
      </c>
      <c r="B319" s="2" t="s">
        <v>1085</v>
      </c>
      <c r="C319" s="2" t="s">
        <v>1086</v>
      </c>
      <c r="D319" s="2">
        <v>83.757142857142796</v>
      </c>
      <c r="E319" s="2" t="s">
        <v>1081</v>
      </c>
    </row>
    <row r="320" spans="1:5" x14ac:dyDescent="0.3">
      <c r="A320" s="2" t="s">
        <v>1402</v>
      </c>
      <c r="B320" s="2" t="s">
        <v>1087</v>
      </c>
      <c r="C320" s="2" t="s">
        <v>1086</v>
      </c>
      <c r="D320" s="2">
        <v>83.935714285714297</v>
      </c>
      <c r="E320" s="2" t="s">
        <v>1084</v>
      </c>
    </row>
    <row r="321" spans="1:5" x14ac:dyDescent="0.3">
      <c r="A321" s="2" t="s">
        <v>1403</v>
      </c>
      <c r="B321" s="2" t="s">
        <v>1088</v>
      </c>
      <c r="C321" s="2" t="s">
        <v>1083</v>
      </c>
      <c r="D321" s="2">
        <v>84.1142857142857</v>
      </c>
      <c r="E321" s="2" t="s">
        <v>1081</v>
      </c>
    </row>
    <row r="322" spans="1:5" x14ac:dyDescent="0.3">
      <c r="A322" s="2" t="s">
        <v>1404</v>
      </c>
      <c r="B322" s="2" t="s">
        <v>1089</v>
      </c>
      <c r="C322" s="2" t="s">
        <v>1086</v>
      </c>
      <c r="D322" s="2">
        <v>84.292857142857102</v>
      </c>
      <c r="E322" s="2" t="s">
        <v>1084</v>
      </c>
    </row>
    <row r="323" spans="1:5" x14ac:dyDescent="0.3">
      <c r="A323" s="2" t="s">
        <v>1405</v>
      </c>
      <c r="B323" s="2" t="s">
        <v>1090</v>
      </c>
      <c r="C323" s="2" t="s">
        <v>1083</v>
      </c>
      <c r="D323" s="2">
        <v>84.471428571428604</v>
      </c>
      <c r="E323" s="2" t="s">
        <v>1081</v>
      </c>
    </row>
    <row r="324" spans="1:5" x14ac:dyDescent="0.3">
      <c r="A324" s="2" t="s">
        <v>1406</v>
      </c>
      <c r="B324" s="2" t="s">
        <v>1091</v>
      </c>
      <c r="C324" s="2" t="s">
        <v>1086</v>
      </c>
      <c r="D324" s="2">
        <v>84.65</v>
      </c>
      <c r="E324" s="2" t="s">
        <v>1084</v>
      </c>
    </row>
    <row r="325" spans="1:5" x14ac:dyDescent="0.3">
      <c r="A325" s="2" t="s">
        <v>1407</v>
      </c>
      <c r="B325" s="2" t="s">
        <v>1092</v>
      </c>
      <c r="C325" s="2" t="s">
        <v>1083</v>
      </c>
      <c r="D325" s="2">
        <v>84.828571428571394</v>
      </c>
      <c r="E325" s="2" t="s">
        <v>1081</v>
      </c>
    </row>
    <row r="326" spans="1:5" x14ac:dyDescent="0.3">
      <c r="A326" s="2" t="s">
        <v>1408</v>
      </c>
      <c r="B326" s="2" t="s">
        <v>1093</v>
      </c>
      <c r="C326" s="2" t="s">
        <v>1086</v>
      </c>
      <c r="D326" s="2">
        <v>85.007142857142796</v>
      </c>
      <c r="E326" s="2" t="s">
        <v>1084</v>
      </c>
    </row>
    <row r="327" spans="1:5" x14ac:dyDescent="0.3">
      <c r="A327" s="2" t="s">
        <v>1409</v>
      </c>
      <c r="B327" s="2" t="s">
        <v>1094</v>
      </c>
      <c r="C327" s="2" t="s">
        <v>1083</v>
      </c>
      <c r="D327" s="2">
        <v>85.185714285714297</v>
      </c>
      <c r="E327" s="2" t="s">
        <v>1081</v>
      </c>
    </row>
    <row r="328" spans="1:5" x14ac:dyDescent="0.3">
      <c r="A328" s="2" t="s">
        <v>1410</v>
      </c>
      <c r="B328" s="2" t="s">
        <v>1095</v>
      </c>
      <c r="C328" s="2" t="s">
        <v>1086</v>
      </c>
      <c r="D328" s="2">
        <v>85.3642857142857</v>
      </c>
      <c r="E328" s="2" t="s">
        <v>1084</v>
      </c>
    </row>
    <row r="329" spans="1:5" x14ac:dyDescent="0.3">
      <c r="A329" s="2" t="s">
        <v>1411</v>
      </c>
      <c r="B329" s="2" t="s">
        <v>1096</v>
      </c>
      <c r="C329" s="2" t="s">
        <v>1083</v>
      </c>
      <c r="D329" s="2">
        <v>85.542857142857102</v>
      </c>
      <c r="E329" s="2" t="s">
        <v>1081</v>
      </c>
    </row>
    <row r="330" spans="1:5" x14ac:dyDescent="0.3">
      <c r="A330" s="2" t="s">
        <v>1412</v>
      </c>
      <c r="B330" s="2" t="s">
        <v>1097</v>
      </c>
      <c r="C330" s="2" t="s">
        <v>1086</v>
      </c>
      <c r="D330" s="2">
        <v>85.721428571428604</v>
      </c>
      <c r="E330" s="2" t="s">
        <v>1084</v>
      </c>
    </row>
    <row r="331" spans="1:5" x14ac:dyDescent="0.3">
      <c r="A331" s="2" t="s">
        <v>1413</v>
      </c>
      <c r="B331" s="2" t="s">
        <v>1098</v>
      </c>
      <c r="C331" s="2" t="s">
        <v>1083</v>
      </c>
      <c r="D331" s="2">
        <v>85.9</v>
      </c>
      <c r="E331" s="2" t="s">
        <v>1081</v>
      </c>
    </row>
    <row r="332" spans="1:5" x14ac:dyDescent="0.3">
      <c r="A332" s="2" t="s">
        <v>1414</v>
      </c>
      <c r="B332" s="2" t="s">
        <v>1079</v>
      </c>
      <c r="C332" s="2" t="s">
        <v>1080</v>
      </c>
      <c r="D332" s="2">
        <v>86.078571428571394</v>
      </c>
      <c r="E332" s="2" t="s">
        <v>1081</v>
      </c>
    </row>
    <row r="333" spans="1:5" x14ac:dyDescent="0.3">
      <c r="A333" s="2" t="s">
        <v>1415</v>
      </c>
      <c r="B333" s="2" t="s">
        <v>1082</v>
      </c>
      <c r="C333" s="2" t="s">
        <v>1083</v>
      </c>
      <c r="D333" s="2">
        <v>86.257142857142796</v>
      </c>
      <c r="E333" s="2" t="s">
        <v>1084</v>
      </c>
    </row>
    <row r="334" spans="1:5" x14ac:dyDescent="0.3">
      <c r="A334" s="2" t="s">
        <v>1416</v>
      </c>
      <c r="B334" s="2" t="s">
        <v>1085</v>
      </c>
      <c r="C334" s="2" t="s">
        <v>1086</v>
      </c>
      <c r="D334" s="2">
        <v>86.435714285714297</v>
      </c>
      <c r="E334" s="2" t="s">
        <v>1081</v>
      </c>
    </row>
    <row r="335" spans="1:5" x14ac:dyDescent="0.3">
      <c r="A335" s="2" t="s">
        <v>1417</v>
      </c>
      <c r="B335" s="2" t="s">
        <v>1087</v>
      </c>
      <c r="C335" s="2" t="s">
        <v>1086</v>
      </c>
      <c r="D335" s="2">
        <v>86.6142857142857</v>
      </c>
      <c r="E335" s="2" t="s">
        <v>1084</v>
      </c>
    </row>
    <row r="336" spans="1:5" x14ac:dyDescent="0.3">
      <c r="A336" s="2" t="s">
        <v>1418</v>
      </c>
      <c r="B336" s="2" t="s">
        <v>1088</v>
      </c>
      <c r="C336" s="2" t="s">
        <v>1083</v>
      </c>
      <c r="D336" s="2">
        <v>86.792857142857102</v>
      </c>
      <c r="E336" s="2" t="s">
        <v>1081</v>
      </c>
    </row>
    <row r="337" spans="1:5" x14ac:dyDescent="0.3">
      <c r="A337" s="2" t="s">
        <v>1419</v>
      </c>
      <c r="B337" s="2" t="s">
        <v>1089</v>
      </c>
      <c r="C337" s="2" t="s">
        <v>1086</v>
      </c>
      <c r="D337" s="2">
        <v>86.971428571428604</v>
      </c>
      <c r="E337" s="2" t="s">
        <v>1084</v>
      </c>
    </row>
    <row r="338" spans="1:5" x14ac:dyDescent="0.3">
      <c r="A338" s="2" t="s">
        <v>1420</v>
      </c>
      <c r="B338" s="2" t="s">
        <v>1090</v>
      </c>
      <c r="C338" s="2" t="s">
        <v>1083</v>
      </c>
      <c r="D338" s="2">
        <v>87.15</v>
      </c>
      <c r="E338" s="2" t="s">
        <v>1081</v>
      </c>
    </row>
    <row r="339" spans="1:5" x14ac:dyDescent="0.3">
      <c r="A339" s="2" t="s">
        <v>1421</v>
      </c>
      <c r="B339" s="2" t="s">
        <v>1091</v>
      </c>
      <c r="C339" s="2" t="s">
        <v>1086</v>
      </c>
      <c r="D339" s="2">
        <v>87.328571428571394</v>
      </c>
      <c r="E339" s="2" t="s">
        <v>1084</v>
      </c>
    </row>
    <row r="340" spans="1:5" x14ac:dyDescent="0.3">
      <c r="A340" s="2" t="s">
        <v>1422</v>
      </c>
      <c r="B340" s="2" t="s">
        <v>1092</v>
      </c>
      <c r="C340" s="2" t="s">
        <v>1083</v>
      </c>
      <c r="D340" s="2">
        <v>87.507142857142796</v>
      </c>
      <c r="E340" s="2" t="s">
        <v>1081</v>
      </c>
    </row>
    <row r="341" spans="1:5" x14ac:dyDescent="0.3">
      <c r="A341" s="2" t="s">
        <v>1423</v>
      </c>
      <c r="B341" s="2" t="s">
        <v>1093</v>
      </c>
      <c r="C341" s="2" t="s">
        <v>1086</v>
      </c>
      <c r="D341" s="2">
        <v>87.685714285714297</v>
      </c>
      <c r="E341" s="2" t="s">
        <v>1084</v>
      </c>
    </row>
    <row r="342" spans="1:5" x14ac:dyDescent="0.3">
      <c r="A342" s="2" t="s">
        <v>1424</v>
      </c>
      <c r="B342" s="2" t="s">
        <v>1094</v>
      </c>
      <c r="C342" s="2" t="s">
        <v>1083</v>
      </c>
      <c r="D342" s="2">
        <v>87.8642857142857</v>
      </c>
      <c r="E342" s="2" t="s">
        <v>1081</v>
      </c>
    </row>
    <row r="343" spans="1:5" x14ac:dyDescent="0.3">
      <c r="A343" s="2" t="s">
        <v>1425</v>
      </c>
      <c r="B343" s="2" t="s">
        <v>1095</v>
      </c>
      <c r="C343" s="2" t="s">
        <v>1086</v>
      </c>
      <c r="D343" s="2">
        <v>88.042857142857102</v>
      </c>
      <c r="E343" s="2" t="s">
        <v>1084</v>
      </c>
    </row>
    <row r="344" spans="1:5" x14ac:dyDescent="0.3">
      <c r="A344" s="2" t="s">
        <v>1426</v>
      </c>
      <c r="B344" s="2" t="s">
        <v>1096</v>
      </c>
      <c r="C344" s="2" t="s">
        <v>1083</v>
      </c>
      <c r="D344" s="2">
        <v>88.221428571428604</v>
      </c>
      <c r="E344" s="2" t="s">
        <v>1081</v>
      </c>
    </row>
    <row r="345" spans="1:5" x14ac:dyDescent="0.3">
      <c r="A345" s="2" t="s">
        <v>1427</v>
      </c>
      <c r="B345" s="2" t="s">
        <v>1097</v>
      </c>
      <c r="C345" s="2" t="s">
        <v>1086</v>
      </c>
      <c r="D345" s="2">
        <v>88.4</v>
      </c>
      <c r="E345" s="2" t="s">
        <v>1084</v>
      </c>
    </row>
    <row r="346" spans="1:5" x14ac:dyDescent="0.3">
      <c r="A346" s="2" t="s">
        <v>1428</v>
      </c>
      <c r="B346" s="2" t="s">
        <v>1098</v>
      </c>
      <c r="C346" s="2" t="s">
        <v>1083</v>
      </c>
      <c r="D346" s="2">
        <v>88.578571428571394</v>
      </c>
      <c r="E346" s="2" t="s">
        <v>1081</v>
      </c>
    </row>
    <row r="347" spans="1:5" x14ac:dyDescent="0.3">
      <c r="A347" s="2" t="s">
        <v>1429</v>
      </c>
      <c r="B347" s="2" t="s">
        <v>1079</v>
      </c>
      <c r="C347" s="2" t="s">
        <v>1080</v>
      </c>
      <c r="D347" s="2">
        <v>88.757142857142796</v>
      </c>
      <c r="E347" s="2" t="s">
        <v>1081</v>
      </c>
    </row>
    <row r="348" spans="1:5" x14ac:dyDescent="0.3">
      <c r="A348" s="2" t="s">
        <v>1430</v>
      </c>
      <c r="B348" s="2" t="s">
        <v>1082</v>
      </c>
      <c r="C348" s="2" t="s">
        <v>1083</v>
      </c>
      <c r="D348" s="2">
        <v>88.935714285714297</v>
      </c>
      <c r="E348" s="2" t="s">
        <v>1084</v>
      </c>
    </row>
    <row r="349" spans="1:5" x14ac:dyDescent="0.3">
      <c r="A349" s="2" t="s">
        <v>1431</v>
      </c>
      <c r="B349" s="2" t="s">
        <v>1085</v>
      </c>
      <c r="C349" s="2" t="s">
        <v>1086</v>
      </c>
      <c r="D349" s="2">
        <v>89.1142857142857</v>
      </c>
      <c r="E349" s="2" t="s">
        <v>1081</v>
      </c>
    </row>
    <row r="350" spans="1:5" x14ac:dyDescent="0.3">
      <c r="A350" s="2" t="s">
        <v>1432</v>
      </c>
      <c r="B350" s="2" t="s">
        <v>1087</v>
      </c>
      <c r="C350" s="2" t="s">
        <v>1086</v>
      </c>
      <c r="D350" s="2">
        <v>89.292857142857102</v>
      </c>
      <c r="E350" s="2" t="s">
        <v>1084</v>
      </c>
    </row>
    <row r="351" spans="1:5" x14ac:dyDescent="0.3">
      <c r="A351" s="2" t="s">
        <v>1433</v>
      </c>
      <c r="B351" s="2" t="s">
        <v>1088</v>
      </c>
      <c r="C351" s="2" t="s">
        <v>1083</v>
      </c>
      <c r="D351" s="2">
        <v>89.471428571428604</v>
      </c>
      <c r="E351" s="2" t="s">
        <v>1081</v>
      </c>
    </row>
    <row r="352" spans="1:5" x14ac:dyDescent="0.3">
      <c r="A352" s="2" t="s">
        <v>1434</v>
      </c>
      <c r="B352" s="2" t="s">
        <v>1089</v>
      </c>
      <c r="C352" s="2" t="s">
        <v>1086</v>
      </c>
      <c r="D352" s="2">
        <v>89.65</v>
      </c>
      <c r="E352" s="2" t="s">
        <v>1084</v>
      </c>
    </row>
    <row r="353" spans="1:5" x14ac:dyDescent="0.3">
      <c r="A353" s="2" t="s">
        <v>1435</v>
      </c>
      <c r="B353" s="2" t="s">
        <v>1090</v>
      </c>
      <c r="C353" s="2" t="s">
        <v>1083</v>
      </c>
      <c r="D353" s="2">
        <v>89.828571428571394</v>
      </c>
      <c r="E353" s="2" t="s">
        <v>1081</v>
      </c>
    </row>
    <row r="354" spans="1:5" x14ac:dyDescent="0.3">
      <c r="A354" s="2" t="s">
        <v>1436</v>
      </c>
      <c r="B354" s="2" t="s">
        <v>1091</v>
      </c>
      <c r="C354" s="2" t="s">
        <v>1086</v>
      </c>
      <c r="D354" s="2">
        <v>90.007142857142796</v>
      </c>
      <c r="E354" s="2" t="s">
        <v>1084</v>
      </c>
    </row>
    <row r="355" spans="1:5" x14ac:dyDescent="0.3">
      <c r="A355" s="2" t="s">
        <v>1437</v>
      </c>
      <c r="B355" s="2" t="s">
        <v>1092</v>
      </c>
      <c r="C355" s="2" t="s">
        <v>1083</v>
      </c>
      <c r="D355" s="2">
        <v>90.185714285714297</v>
      </c>
      <c r="E355" s="2" t="s">
        <v>1081</v>
      </c>
    </row>
    <row r="356" spans="1:5" x14ac:dyDescent="0.3">
      <c r="A356" s="2" t="s">
        <v>1438</v>
      </c>
      <c r="B356" s="2" t="s">
        <v>1093</v>
      </c>
      <c r="C356" s="2" t="s">
        <v>1086</v>
      </c>
      <c r="D356" s="2">
        <v>90.3642857142857</v>
      </c>
      <c r="E356" s="2" t="s">
        <v>1084</v>
      </c>
    </row>
    <row r="357" spans="1:5" x14ac:dyDescent="0.3">
      <c r="A357" s="2" t="s">
        <v>1439</v>
      </c>
      <c r="B357" s="2" t="s">
        <v>1094</v>
      </c>
      <c r="C357" s="2" t="s">
        <v>1083</v>
      </c>
      <c r="D357" s="2">
        <v>90.542857142857102</v>
      </c>
      <c r="E357" s="2" t="s">
        <v>1081</v>
      </c>
    </row>
    <row r="358" spans="1:5" x14ac:dyDescent="0.3">
      <c r="A358" s="2" t="s">
        <v>1440</v>
      </c>
      <c r="B358" s="2" t="s">
        <v>1095</v>
      </c>
      <c r="C358" s="2" t="s">
        <v>1086</v>
      </c>
      <c r="D358" s="2">
        <v>90.721428571428604</v>
      </c>
      <c r="E358" s="2" t="s">
        <v>1084</v>
      </c>
    </row>
    <row r="359" spans="1:5" x14ac:dyDescent="0.3">
      <c r="A359" s="2" t="s">
        <v>1441</v>
      </c>
      <c r="B359" s="2" t="s">
        <v>1096</v>
      </c>
      <c r="C359" s="2" t="s">
        <v>1083</v>
      </c>
      <c r="D359" s="2">
        <v>90.9</v>
      </c>
      <c r="E359" s="2" t="s">
        <v>1081</v>
      </c>
    </row>
    <row r="360" spans="1:5" x14ac:dyDescent="0.3">
      <c r="A360" s="2" t="s">
        <v>1442</v>
      </c>
      <c r="B360" s="2" t="s">
        <v>1097</v>
      </c>
      <c r="C360" s="2" t="s">
        <v>1086</v>
      </c>
      <c r="D360" s="2">
        <v>91.078571428571394</v>
      </c>
      <c r="E360" s="2" t="s">
        <v>1084</v>
      </c>
    </row>
    <row r="361" spans="1:5" x14ac:dyDescent="0.3">
      <c r="A361" s="2" t="s">
        <v>1443</v>
      </c>
      <c r="B361" s="2" t="s">
        <v>1098</v>
      </c>
      <c r="C361" s="2" t="s">
        <v>1083</v>
      </c>
      <c r="D361" s="2">
        <v>91.257142857142796</v>
      </c>
      <c r="E361" s="2" t="s">
        <v>1081</v>
      </c>
    </row>
    <row r="362" spans="1:5" x14ac:dyDescent="0.3">
      <c r="A362" s="2" t="s">
        <v>1444</v>
      </c>
      <c r="B362" s="2" t="s">
        <v>1079</v>
      </c>
      <c r="C362" s="2" t="s">
        <v>1080</v>
      </c>
      <c r="D362" s="2">
        <v>91.435714285714297</v>
      </c>
      <c r="E362" s="2" t="s">
        <v>1081</v>
      </c>
    </row>
    <row r="363" spans="1:5" x14ac:dyDescent="0.3">
      <c r="A363" s="2" t="s">
        <v>1445</v>
      </c>
      <c r="B363" s="2" t="s">
        <v>1082</v>
      </c>
      <c r="C363" s="2" t="s">
        <v>1083</v>
      </c>
      <c r="D363" s="2">
        <v>91.6142857142857</v>
      </c>
      <c r="E363" s="2" t="s">
        <v>1084</v>
      </c>
    </row>
    <row r="364" spans="1:5" x14ac:dyDescent="0.3">
      <c r="A364" s="2" t="s">
        <v>1446</v>
      </c>
      <c r="B364" s="2" t="s">
        <v>1085</v>
      </c>
      <c r="C364" s="2" t="s">
        <v>1086</v>
      </c>
      <c r="D364" s="2">
        <v>91.792857142857102</v>
      </c>
      <c r="E364" s="2" t="s">
        <v>1081</v>
      </c>
    </row>
    <row r="365" spans="1:5" x14ac:dyDescent="0.3">
      <c r="A365" s="2" t="s">
        <v>1447</v>
      </c>
      <c r="B365" s="2" t="s">
        <v>1087</v>
      </c>
      <c r="C365" s="2" t="s">
        <v>1086</v>
      </c>
      <c r="D365" s="2">
        <v>91.971428571428604</v>
      </c>
      <c r="E365" s="2" t="s">
        <v>1084</v>
      </c>
    </row>
    <row r="366" spans="1:5" x14ac:dyDescent="0.3">
      <c r="A366" s="2" t="s">
        <v>1448</v>
      </c>
      <c r="B366" s="2" t="s">
        <v>1088</v>
      </c>
      <c r="C366" s="2" t="s">
        <v>1083</v>
      </c>
      <c r="D366" s="2">
        <v>92.15</v>
      </c>
      <c r="E366" s="2" t="s">
        <v>1081</v>
      </c>
    </row>
    <row r="367" spans="1:5" x14ac:dyDescent="0.3">
      <c r="A367" s="2" t="s">
        <v>1449</v>
      </c>
      <c r="B367" s="2" t="s">
        <v>1089</v>
      </c>
      <c r="C367" s="2" t="s">
        <v>1086</v>
      </c>
      <c r="D367" s="2">
        <v>92.328571428571394</v>
      </c>
      <c r="E367" s="2" t="s">
        <v>1084</v>
      </c>
    </row>
    <row r="368" spans="1:5" x14ac:dyDescent="0.3">
      <c r="A368" s="2" t="s">
        <v>1450</v>
      </c>
      <c r="B368" s="2" t="s">
        <v>1090</v>
      </c>
      <c r="C368" s="2" t="s">
        <v>1083</v>
      </c>
      <c r="D368" s="2">
        <v>92.507142857142796</v>
      </c>
      <c r="E368" s="2" t="s">
        <v>1081</v>
      </c>
    </row>
    <row r="369" spans="1:5" x14ac:dyDescent="0.3">
      <c r="A369" s="2" t="s">
        <v>1451</v>
      </c>
      <c r="B369" s="2" t="s">
        <v>1091</v>
      </c>
      <c r="C369" s="2" t="s">
        <v>1086</v>
      </c>
      <c r="D369" s="2">
        <v>92.685714285714297</v>
      </c>
      <c r="E369" s="2" t="s">
        <v>1084</v>
      </c>
    </row>
    <row r="370" spans="1:5" x14ac:dyDescent="0.3">
      <c r="A370" s="2" t="s">
        <v>1452</v>
      </c>
      <c r="B370" s="2" t="s">
        <v>1092</v>
      </c>
      <c r="C370" s="2" t="s">
        <v>1083</v>
      </c>
      <c r="D370" s="2">
        <v>92.8642857142857</v>
      </c>
      <c r="E370" s="2" t="s">
        <v>1081</v>
      </c>
    </row>
    <row r="371" spans="1:5" x14ac:dyDescent="0.3">
      <c r="A371" s="2" t="s">
        <v>1453</v>
      </c>
      <c r="B371" s="2" t="s">
        <v>1093</v>
      </c>
      <c r="C371" s="2" t="s">
        <v>1086</v>
      </c>
      <c r="D371" s="2">
        <v>93.042857142857102</v>
      </c>
      <c r="E371" s="2" t="s">
        <v>1084</v>
      </c>
    </row>
    <row r="372" spans="1:5" x14ac:dyDescent="0.3">
      <c r="A372" s="2" t="s">
        <v>1454</v>
      </c>
      <c r="B372" s="2" t="s">
        <v>1094</v>
      </c>
      <c r="C372" s="2" t="s">
        <v>1083</v>
      </c>
      <c r="D372" s="2">
        <v>93.221428571428604</v>
      </c>
      <c r="E372" s="2" t="s">
        <v>1081</v>
      </c>
    </row>
    <row r="373" spans="1:5" x14ac:dyDescent="0.3">
      <c r="A373" s="2" t="s">
        <v>1455</v>
      </c>
      <c r="B373" s="2" t="s">
        <v>1095</v>
      </c>
      <c r="C373" s="2" t="s">
        <v>1086</v>
      </c>
      <c r="D373" s="2">
        <v>93.4</v>
      </c>
      <c r="E373" s="2" t="s">
        <v>1084</v>
      </c>
    </row>
    <row r="374" spans="1:5" x14ac:dyDescent="0.3">
      <c r="A374" s="2" t="s">
        <v>1456</v>
      </c>
      <c r="B374" s="2" t="s">
        <v>1096</v>
      </c>
      <c r="C374" s="2" t="s">
        <v>1083</v>
      </c>
      <c r="D374" s="2">
        <v>93.578571428571394</v>
      </c>
      <c r="E374" s="2" t="s">
        <v>1081</v>
      </c>
    </row>
    <row r="375" spans="1:5" x14ac:dyDescent="0.3">
      <c r="A375" s="2" t="s">
        <v>1457</v>
      </c>
      <c r="B375" s="2" t="s">
        <v>1097</v>
      </c>
      <c r="C375" s="2" t="s">
        <v>1086</v>
      </c>
      <c r="D375" s="2">
        <v>93.757142857142796</v>
      </c>
      <c r="E375" s="2" t="s">
        <v>1084</v>
      </c>
    </row>
    <row r="376" spans="1:5" x14ac:dyDescent="0.3">
      <c r="A376" s="2" t="s">
        <v>1458</v>
      </c>
      <c r="B376" s="2" t="s">
        <v>1098</v>
      </c>
      <c r="C376" s="2" t="s">
        <v>1083</v>
      </c>
      <c r="D376" s="2">
        <v>93.935714285714297</v>
      </c>
      <c r="E376" s="2" t="s">
        <v>1081</v>
      </c>
    </row>
    <row r="377" spans="1:5" x14ac:dyDescent="0.3">
      <c r="A377" s="2" t="s">
        <v>1459</v>
      </c>
      <c r="B377" s="2" t="s">
        <v>1079</v>
      </c>
      <c r="C377" s="2" t="s">
        <v>1080</v>
      </c>
      <c r="D377" s="2">
        <v>94.1142857142857</v>
      </c>
      <c r="E377" s="2" t="s">
        <v>1081</v>
      </c>
    </row>
    <row r="378" spans="1:5" x14ac:dyDescent="0.3">
      <c r="A378" s="2" t="s">
        <v>1460</v>
      </c>
      <c r="B378" s="2" t="s">
        <v>1082</v>
      </c>
      <c r="C378" s="2" t="s">
        <v>1083</v>
      </c>
      <c r="D378" s="2">
        <v>94.292857142857102</v>
      </c>
      <c r="E378" s="2" t="s">
        <v>1084</v>
      </c>
    </row>
    <row r="379" spans="1:5" x14ac:dyDescent="0.3">
      <c r="A379" s="2" t="s">
        <v>1461</v>
      </c>
      <c r="B379" s="2" t="s">
        <v>1085</v>
      </c>
      <c r="C379" s="2" t="s">
        <v>1086</v>
      </c>
      <c r="D379" s="2">
        <v>94.471428571428604</v>
      </c>
      <c r="E379" s="2" t="s">
        <v>1081</v>
      </c>
    </row>
    <row r="380" spans="1:5" x14ac:dyDescent="0.3">
      <c r="A380" s="2" t="s">
        <v>1462</v>
      </c>
      <c r="B380" s="2" t="s">
        <v>1087</v>
      </c>
      <c r="C380" s="2" t="s">
        <v>1086</v>
      </c>
      <c r="D380" s="2">
        <v>94.65</v>
      </c>
      <c r="E380" s="2" t="s">
        <v>1084</v>
      </c>
    </row>
    <row r="381" spans="1:5" x14ac:dyDescent="0.3">
      <c r="A381" s="2" t="s">
        <v>1463</v>
      </c>
      <c r="B381" s="2" t="s">
        <v>1088</v>
      </c>
      <c r="C381" s="2" t="s">
        <v>1083</v>
      </c>
      <c r="D381" s="2">
        <v>94.828571428571394</v>
      </c>
      <c r="E381" s="2" t="s">
        <v>1081</v>
      </c>
    </row>
    <row r="382" spans="1:5" x14ac:dyDescent="0.3">
      <c r="A382" s="2" t="s">
        <v>1464</v>
      </c>
      <c r="B382" s="2" t="s">
        <v>1089</v>
      </c>
      <c r="C382" s="2" t="s">
        <v>1086</v>
      </c>
      <c r="D382" s="2">
        <v>95.007142857142796</v>
      </c>
      <c r="E382" s="2" t="s">
        <v>1084</v>
      </c>
    </row>
    <row r="383" spans="1:5" x14ac:dyDescent="0.3">
      <c r="A383" s="2" t="s">
        <v>1465</v>
      </c>
      <c r="B383" s="2" t="s">
        <v>1090</v>
      </c>
      <c r="C383" s="2" t="s">
        <v>1083</v>
      </c>
      <c r="D383" s="2">
        <v>95.185714285714297</v>
      </c>
      <c r="E383" s="2" t="s">
        <v>1081</v>
      </c>
    </row>
    <row r="384" spans="1:5" x14ac:dyDescent="0.3">
      <c r="A384" s="2" t="s">
        <v>1466</v>
      </c>
      <c r="B384" s="2" t="s">
        <v>1091</v>
      </c>
      <c r="C384" s="2" t="s">
        <v>1086</v>
      </c>
      <c r="D384" s="2">
        <v>95.3642857142857</v>
      </c>
      <c r="E384" s="2" t="s">
        <v>1084</v>
      </c>
    </row>
    <row r="385" spans="1:5" x14ac:dyDescent="0.3">
      <c r="A385" s="2" t="s">
        <v>1467</v>
      </c>
      <c r="B385" s="2" t="s">
        <v>1092</v>
      </c>
      <c r="C385" s="2" t="s">
        <v>1083</v>
      </c>
      <c r="D385" s="2">
        <v>95.542857142857102</v>
      </c>
      <c r="E385" s="2" t="s">
        <v>1081</v>
      </c>
    </row>
    <row r="386" spans="1:5" x14ac:dyDescent="0.3">
      <c r="A386" s="2" t="s">
        <v>1468</v>
      </c>
      <c r="B386" s="2" t="s">
        <v>1093</v>
      </c>
      <c r="C386" s="2" t="s">
        <v>1086</v>
      </c>
      <c r="D386" s="2">
        <v>95.721428571428604</v>
      </c>
      <c r="E386" s="2" t="s">
        <v>1084</v>
      </c>
    </row>
    <row r="387" spans="1:5" x14ac:dyDescent="0.3">
      <c r="A387" s="2" t="s">
        <v>1469</v>
      </c>
      <c r="B387" s="2" t="s">
        <v>1094</v>
      </c>
      <c r="C387" s="2" t="s">
        <v>1083</v>
      </c>
      <c r="D387" s="2">
        <v>95.9</v>
      </c>
      <c r="E387" s="2" t="s">
        <v>1081</v>
      </c>
    </row>
    <row r="388" spans="1:5" x14ac:dyDescent="0.3">
      <c r="A388" s="2" t="s">
        <v>1470</v>
      </c>
      <c r="B388" s="2" t="s">
        <v>1095</v>
      </c>
      <c r="C388" s="2" t="s">
        <v>1086</v>
      </c>
      <c r="D388" s="2">
        <v>96.078571428571394</v>
      </c>
      <c r="E388" s="2" t="s">
        <v>1084</v>
      </c>
    </row>
    <row r="389" spans="1:5" x14ac:dyDescent="0.3">
      <c r="A389" s="2" t="s">
        <v>1471</v>
      </c>
      <c r="B389" s="2" t="s">
        <v>1096</v>
      </c>
      <c r="C389" s="2" t="s">
        <v>1083</v>
      </c>
      <c r="D389" s="2">
        <v>96.257142857142796</v>
      </c>
      <c r="E389" s="2" t="s">
        <v>1081</v>
      </c>
    </row>
    <row r="390" spans="1:5" x14ac:dyDescent="0.3">
      <c r="A390" s="2" t="s">
        <v>1472</v>
      </c>
      <c r="B390" s="2" t="s">
        <v>1097</v>
      </c>
      <c r="C390" s="2" t="s">
        <v>1086</v>
      </c>
      <c r="D390" s="2">
        <v>96.435714285714297</v>
      </c>
      <c r="E390" s="2" t="s">
        <v>1084</v>
      </c>
    </row>
    <row r="391" spans="1:5" x14ac:dyDescent="0.3">
      <c r="A391" s="2" t="s">
        <v>1473</v>
      </c>
      <c r="B391" s="2" t="s">
        <v>1098</v>
      </c>
      <c r="C391" s="2" t="s">
        <v>1083</v>
      </c>
      <c r="D391" s="2">
        <v>96.6142857142857</v>
      </c>
      <c r="E391" s="2" t="s">
        <v>1081</v>
      </c>
    </row>
    <row r="392" spans="1:5" x14ac:dyDescent="0.3">
      <c r="A392" s="2" t="s">
        <v>1474</v>
      </c>
      <c r="B392" s="2" t="s">
        <v>1079</v>
      </c>
      <c r="C392" s="2" t="s">
        <v>1080</v>
      </c>
      <c r="D392" s="2">
        <v>96.792857142857102</v>
      </c>
      <c r="E392" s="2" t="s">
        <v>1081</v>
      </c>
    </row>
    <row r="393" spans="1:5" x14ac:dyDescent="0.3">
      <c r="A393" s="2" t="s">
        <v>1475</v>
      </c>
      <c r="B393" s="2" t="s">
        <v>1082</v>
      </c>
      <c r="C393" s="2" t="s">
        <v>1083</v>
      </c>
      <c r="D393" s="2">
        <v>96.971428571428604</v>
      </c>
      <c r="E393" s="2" t="s">
        <v>1084</v>
      </c>
    </row>
    <row r="394" spans="1:5" x14ac:dyDescent="0.3">
      <c r="A394" s="2" t="s">
        <v>1476</v>
      </c>
      <c r="B394" s="2" t="s">
        <v>1085</v>
      </c>
      <c r="C394" s="2" t="s">
        <v>1086</v>
      </c>
      <c r="D394" s="2">
        <v>97.15</v>
      </c>
      <c r="E394" s="2" t="s">
        <v>1081</v>
      </c>
    </row>
    <row r="395" spans="1:5" x14ac:dyDescent="0.3">
      <c r="A395" s="2" t="s">
        <v>1477</v>
      </c>
      <c r="B395" s="2" t="s">
        <v>1087</v>
      </c>
      <c r="C395" s="2" t="s">
        <v>1086</v>
      </c>
      <c r="D395" s="2">
        <v>97.328571428571394</v>
      </c>
      <c r="E395" s="2" t="s">
        <v>1084</v>
      </c>
    </row>
    <row r="396" spans="1:5" x14ac:dyDescent="0.3">
      <c r="A396" s="2" t="s">
        <v>1478</v>
      </c>
      <c r="B396" s="2" t="s">
        <v>1088</v>
      </c>
      <c r="C396" s="2" t="s">
        <v>1083</v>
      </c>
      <c r="D396" s="2">
        <v>97.507142857142796</v>
      </c>
      <c r="E396" s="2" t="s">
        <v>1081</v>
      </c>
    </row>
    <row r="397" spans="1:5" x14ac:dyDescent="0.3">
      <c r="A397" s="2" t="s">
        <v>1479</v>
      </c>
      <c r="B397" s="2" t="s">
        <v>1089</v>
      </c>
      <c r="C397" s="2" t="s">
        <v>1086</v>
      </c>
      <c r="D397" s="2">
        <v>97.685714285714297</v>
      </c>
      <c r="E397" s="2" t="s">
        <v>1084</v>
      </c>
    </row>
    <row r="398" spans="1:5" x14ac:dyDescent="0.3">
      <c r="A398" s="2" t="s">
        <v>1480</v>
      </c>
      <c r="B398" s="2" t="s">
        <v>1090</v>
      </c>
      <c r="C398" s="2" t="s">
        <v>1083</v>
      </c>
      <c r="D398" s="2">
        <v>97.8642857142857</v>
      </c>
      <c r="E398" s="2" t="s">
        <v>1081</v>
      </c>
    </row>
    <row r="399" spans="1:5" x14ac:dyDescent="0.3">
      <c r="A399" s="2" t="s">
        <v>1481</v>
      </c>
      <c r="B399" s="2" t="s">
        <v>1091</v>
      </c>
      <c r="C399" s="2" t="s">
        <v>1086</v>
      </c>
      <c r="D399" s="2">
        <v>98.042857142857102</v>
      </c>
      <c r="E399" s="2" t="s">
        <v>1084</v>
      </c>
    </row>
    <row r="400" spans="1:5" x14ac:dyDescent="0.3">
      <c r="A400" s="2" t="s">
        <v>1482</v>
      </c>
      <c r="B400" s="2" t="s">
        <v>1092</v>
      </c>
      <c r="C400" s="2" t="s">
        <v>1083</v>
      </c>
      <c r="D400" s="2">
        <v>98.221428571428604</v>
      </c>
      <c r="E400" s="2" t="s">
        <v>1081</v>
      </c>
    </row>
    <row r="401" spans="1:5" x14ac:dyDescent="0.3">
      <c r="A401" s="2" t="s">
        <v>1483</v>
      </c>
      <c r="B401" s="2" t="s">
        <v>1093</v>
      </c>
      <c r="C401" s="2" t="s">
        <v>1086</v>
      </c>
      <c r="D401" s="2">
        <v>98.4</v>
      </c>
      <c r="E401" s="2" t="s">
        <v>1084</v>
      </c>
    </row>
    <row r="402" spans="1:5" x14ac:dyDescent="0.3">
      <c r="A402" s="2" t="s">
        <v>1484</v>
      </c>
      <c r="B402" s="2" t="s">
        <v>1094</v>
      </c>
      <c r="C402" s="2" t="s">
        <v>1083</v>
      </c>
      <c r="D402" s="2">
        <v>98.578571428571394</v>
      </c>
      <c r="E402" s="2" t="s">
        <v>1081</v>
      </c>
    </row>
    <row r="403" spans="1:5" x14ac:dyDescent="0.3">
      <c r="A403" s="2" t="s">
        <v>1485</v>
      </c>
      <c r="B403" s="2" t="s">
        <v>1095</v>
      </c>
      <c r="C403" s="2" t="s">
        <v>1086</v>
      </c>
      <c r="D403" s="2">
        <v>98.757142857142796</v>
      </c>
      <c r="E403" s="2" t="s">
        <v>1084</v>
      </c>
    </row>
    <row r="404" spans="1:5" x14ac:dyDescent="0.3">
      <c r="A404" s="2" t="s">
        <v>1486</v>
      </c>
      <c r="B404" s="2" t="s">
        <v>1096</v>
      </c>
      <c r="C404" s="2" t="s">
        <v>1083</v>
      </c>
      <c r="D404" s="2">
        <v>98.935714285714297</v>
      </c>
      <c r="E404" s="2" t="s">
        <v>1081</v>
      </c>
    </row>
    <row r="405" spans="1:5" x14ac:dyDescent="0.3">
      <c r="A405" s="2" t="s">
        <v>1487</v>
      </c>
      <c r="B405" s="2" t="s">
        <v>1097</v>
      </c>
      <c r="C405" s="2" t="s">
        <v>1086</v>
      </c>
      <c r="D405" s="2">
        <v>99.1142857142857</v>
      </c>
      <c r="E405" s="2" t="s">
        <v>1084</v>
      </c>
    </row>
    <row r="406" spans="1:5" x14ac:dyDescent="0.3">
      <c r="A406" s="2" t="s">
        <v>1488</v>
      </c>
      <c r="B406" s="2" t="s">
        <v>1098</v>
      </c>
      <c r="C406" s="2" t="s">
        <v>1083</v>
      </c>
      <c r="D406" s="2">
        <v>99.292857142857102</v>
      </c>
      <c r="E406" s="2" t="s">
        <v>1081</v>
      </c>
    </row>
    <row r="407" spans="1:5" x14ac:dyDescent="0.3">
      <c r="A407" s="2" t="s">
        <v>1489</v>
      </c>
      <c r="B407" s="2" t="s">
        <v>1079</v>
      </c>
      <c r="C407" s="2" t="s">
        <v>1080</v>
      </c>
      <c r="D407" s="2">
        <v>99.471428571428604</v>
      </c>
      <c r="E407" s="2" t="s">
        <v>1081</v>
      </c>
    </row>
    <row r="408" spans="1:5" x14ac:dyDescent="0.3">
      <c r="A408" s="2" t="s">
        <v>1490</v>
      </c>
      <c r="B408" s="2" t="s">
        <v>1082</v>
      </c>
      <c r="C408" s="2" t="s">
        <v>1083</v>
      </c>
      <c r="D408" s="2">
        <v>99.65</v>
      </c>
      <c r="E408" s="2" t="s">
        <v>1084</v>
      </c>
    </row>
    <row r="409" spans="1:5" x14ac:dyDescent="0.3">
      <c r="A409" s="2" t="s">
        <v>1491</v>
      </c>
      <c r="B409" s="2" t="s">
        <v>1085</v>
      </c>
      <c r="C409" s="2" t="s">
        <v>1086</v>
      </c>
      <c r="D409" s="2">
        <v>99.828571428571394</v>
      </c>
      <c r="E409" s="2" t="s">
        <v>1081</v>
      </c>
    </row>
    <row r="410" spans="1:5" x14ac:dyDescent="0.3">
      <c r="A410" s="2" t="s">
        <v>1492</v>
      </c>
      <c r="B410" s="2" t="s">
        <v>1087</v>
      </c>
      <c r="C410" s="2" t="s">
        <v>1086</v>
      </c>
      <c r="D410" s="2">
        <v>100.00714285714299</v>
      </c>
      <c r="E410" s="2" t="s">
        <v>1084</v>
      </c>
    </row>
    <row r="411" spans="1:5" x14ac:dyDescent="0.3">
      <c r="A411" s="2" t="s">
        <v>1493</v>
      </c>
      <c r="B411" s="2" t="s">
        <v>1088</v>
      </c>
      <c r="C411" s="2" t="s">
        <v>1083</v>
      </c>
      <c r="D411" s="2">
        <v>100.185714285714</v>
      </c>
      <c r="E411" s="2" t="s">
        <v>1081</v>
      </c>
    </row>
    <row r="412" spans="1:5" x14ac:dyDescent="0.3">
      <c r="A412" s="2" t="s">
        <v>1494</v>
      </c>
      <c r="B412" s="2" t="s">
        <v>1089</v>
      </c>
      <c r="C412" s="2" t="s">
        <v>1086</v>
      </c>
      <c r="D412" s="2">
        <v>100.364285714286</v>
      </c>
      <c r="E412" s="2" t="s">
        <v>1084</v>
      </c>
    </row>
    <row r="413" spans="1:5" x14ac:dyDescent="0.3">
      <c r="A413" s="2" t="s">
        <v>1495</v>
      </c>
      <c r="B413" s="2" t="s">
        <v>1090</v>
      </c>
      <c r="C413" s="2" t="s">
        <v>1083</v>
      </c>
      <c r="D413" s="2">
        <v>100.542857142857</v>
      </c>
      <c r="E413" s="2" t="s">
        <v>1081</v>
      </c>
    </row>
    <row r="414" spans="1:5" x14ac:dyDescent="0.3">
      <c r="A414" s="2" t="s">
        <v>1496</v>
      </c>
      <c r="B414" s="2" t="s">
        <v>1091</v>
      </c>
      <c r="C414" s="2" t="s">
        <v>1086</v>
      </c>
      <c r="D414" s="2">
        <v>100.721428571429</v>
      </c>
      <c r="E414" s="2" t="s">
        <v>1084</v>
      </c>
    </row>
    <row r="415" spans="1:5" x14ac:dyDescent="0.3">
      <c r="A415" s="2" t="s">
        <v>1497</v>
      </c>
      <c r="B415" s="2" t="s">
        <v>1092</v>
      </c>
      <c r="C415" s="2" t="s">
        <v>1083</v>
      </c>
      <c r="D415" s="2">
        <v>100.9</v>
      </c>
      <c r="E415" s="2" t="s">
        <v>1081</v>
      </c>
    </row>
    <row r="416" spans="1:5" x14ac:dyDescent="0.3">
      <c r="A416" s="2" t="s">
        <v>1498</v>
      </c>
      <c r="B416" s="2" t="s">
        <v>1093</v>
      </c>
      <c r="C416" s="2" t="s">
        <v>1086</v>
      </c>
      <c r="D416" s="2">
        <v>101.078571428571</v>
      </c>
      <c r="E416" s="2" t="s">
        <v>1084</v>
      </c>
    </row>
    <row r="417" spans="1:5" x14ac:dyDescent="0.3">
      <c r="A417" s="2" t="s">
        <v>1499</v>
      </c>
      <c r="B417" s="2" t="s">
        <v>1094</v>
      </c>
      <c r="C417" s="2" t="s">
        <v>1083</v>
      </c>
      <c r="D417" s="2">
        <v>101.25714285714299</v>
      </c>
      <c r="E417" s="2" t="s">
        <v>1081</v>
      </c>
    </row>
    <row r="418" spans="1:5" x14ac:dyDescent="0.3">
      <c r="A418" s="2" t="s">
        <v>1500</v>
      </c>
      <c r="B418" s="2" t="s">
        <v>1095</v>
      </c>
      <c r="C418" s="2" t="s">
        <v>1086</v>
      </c>
      <c r="D418" s="2">
        <v>101.435714285714</v>
      </c>
      <c r="E418" s="2" t="s">
        <v>1084</v>
      </c>
    </row>
    <row r="419" spans="1:5" x14ac:dyDescent="0.3">
      <c r="A419" s="2" t="s">
        <v>1501</v>
      </c>
      <c r="B419" s="2" t="s">
        <v>1096</v>
      </c>
      <c r="C419" s="2" t="s">
        <v>1083</v>
      </c>
      <c r="D419" s="2">
        <v>101.614285714286</v>
      </c>
      <c r="E419" s="2" t="s">
        <v>1081</v>
      </c>
    </row>
    <row r="420" spans="1:5" x14ac:dyDescent="0.3">
      <c r="A420" s="2" t="s">
        <v>1502</v>
      </c>
      <c r="B420" s="2" t="s">
        <v>1097</v>
      </c>
      <c r="C420" s="2" t="s">
        <v>1086</v>
      </c>
      <c r="D420" s="2">
        <v>101.792857142857</v>
      </c>
      <c r="E420" s="2" t="s">
        <v>1084</v>
      </c>
    </row>
    <row r="421" spans="1:5" x14ac:dyDescent="0.3">
      <c r="A421" s="2" t="s">
        <v>1503</v>
      </c>
      <c r="B421" s="2" t="s">
        <v>1098</v>
      </c>
      <c r="C421" s="2" t="s">
        <v>1083</v>
      </c>
      <c r="D421" s="2">
        <v>101.971428571429</v>
      </c>
      <c r="E421" s="2" t="s">
        <v>1081</v>
      </c>
    </row>
    <row r="422" spans="1:5" x14ac:dyDescent="0.3">
      <c r="A422" s="2" t="s">
        <v>1504</v>
      </c>
      <c r="B422" s="2" t="s">
        <v>1079</v>
      </c>
      <c r="C422" s="2" t="s">
        <v>1080</v>
      </c>
      <c r="D422" s="2">
        <v>102.15</v>
      </c>
      <c r="E422" s="2" t="s">
        <v>1081</v>
      </c>
    </row>
    <row r="423" spans="1:5" x14ac:dyDescent="0.3">
      <c r="A423" s="2" t="s">
        <v>1505</v>
      </c>
      <c r="B423" s="2" t="s">
        <v>1082</v>
      </c>
      <c r="C423" s="2" t="s">
        <v>1083</v>
      </c>
      <c r="D423" s="2">
        <v>102.328571428571</v>
      </c>
      <c r="E423" s="2" t="s">
        <v>1084</v>
      </c>
    </row>
    <row r="424" spans="1:5" x14ac:dyDescent="0.3">
      <c r="A424" s="2" t="s">
        <v>1506</v>
      </c>
      <c r="B424" s="2" t="s">
        <v>1085</v>
      </c>
      <c r="C424" s="2" t="s">
        <v>1086</v>
      </c>
      <c r="D424" s="2">
        <v>102.50714285714299</v>
      </c>
      <c r="E424" s="2" t="s">
        <v>1081</v>
      </c>
    </row>
    <row r="425" spans="1:5" x14ac:dyDescent="0.3">
      <c r="A425" s="2" t="s">
        <v>1507</v>
      </c>
      <c r="B425" s="2" t="s">
        <v>1087</v>
      </c>
      <c r="C425" s="2" t="s">
        <v>1086</v>
      </c>
      <c r="D425" s="2">
        <v>102.685714285714</v>
      </c>
      <c r="E425" s="2" t="s">
        <v>1084</v>
      </c>
    </row>
    <row r="426" spans="1:5" x14ac:dyDescent="0.3">
      <c r="A426" s="2" t="s">
        <v>1508</v>
      </c>
      <c r="B426" s="2" t="s">
        <v>1088</v>
      </c>
      <c r="C426" s="2" t="s">
        <v>1083</v>
      </c>
      <c r="D426" s="2">
        <v>102.864285714286</v>
      </c>
      <c r="E426" s="2" t="s">
        <v>1081</v>
      </c>
    </row>
    <row r="427" spans="1:5" x14ac:dyDescent="0.3">
      <c r="A427" s="2" t="s">
        <v>1509</v>
      </c>
      <c r="B427" s="2" t="s">
        <v>1089</v>
      </c>
      <c r="C427" s="2" t="s">
        <v>1086</v>
      </c>
      <c r="D427" s="2">
        <v>103.042857142857</v>
      </c>
      <c r="E427" s="2" t="s">
        <v>1084</v>
      </c>
    </row>
    <row r="428" spans="1:5" x14ac:dyDescent="0.3">
      <c r="A428" s="2" t="s">
        <v>1510</v>
      </c>
      <c r="B428" s="2" t="s">
        <v>1090</v>
      </c>
      <c r="C428" s="2" t="s">
        <v>1083</v>
      </c>
      <c r="D428" s="2">
        <v>103.221428571429</v>
      </c>
      <c r="E428" s="2" t="s">
        <v>1081</v>
      </c>
    </row>
    <row r="429" spans="1:5" x14ac:dyDescent="0.3">
      <c r="A429" s="2" t="s">
        <v>1511</v>
      </c>
      <c r="B429" s="2" t="s">
        <v>1091</v>
      </c>
      <c r="C429" s="2" t="s">
        <v>1086</v>
      </c>
      <c r="D429" s="2">
        <v>103.4</v>
      </c>
      <c r="E429" s="2" t="s">
        <v>1084</v>
      </c>
    </row>
    <row r="430" spans="1:5" x14ac:dyDescent="0.3">
      <c r="A430" s="2" t="s">
        <v>1512</v>
      </c>
      <c r="B430" s="2" t="s">
        <v>1092</v>
      </c>
      <c r="C430" s="2" t="s">
        <v>1083</v>
      </c>
      <c r="D430" s="2">
        <v>103.578571428571</v>
      </c>
      <c r="E430" s="2" t="s">
        <v>1081</v>
      </c>
    </row>
    <row r="431" spans="1:5" x14ac:dyDescent="0.3">
      <c r="A431" s="2" t="s">
        <v>1513</v>
      </c>
      <c r="B431" s="2" t="s">
        <v>1093</v>
      </c>
      <c r="C431" s="2" t="s">
        <v>1086</v>
      </c>
      <c r="D431" s="2">
        <v>103.75714285714299</v>
      </c>
      <c r="E431" s="2" t="s">
        <v>1084</v>
      </c>
    </row>
    <row r="432" spans="1:5" x14ac:dyDescent="0.3">
      <c r="A432" s="2" t="s">
        <v>1514</v>
      </c>
      <c r="B432" s="2" t="s">
        <v>1094</v>
      </c>
      <c r="C432" s="2" t="s">
        <v>1083</v>
      </c>
      <c r="D432" s="2">
        <v>103.935714285714</v>
      </c>
      <c r="E432" s="2" t="s">
        <v>1081</v>
      </c>
    </row>
    <row r="433" spans="1:5" x14ac:dyDescent="0.3">
      <c r="A433" s="2" t="s">
        <v>1515</v>
      </c>
      <c r="B433" s="2" t="s">
        <v>1095</v>
      </c>
      <c r="C433" s="2" t="s">
        <v>1086</v>
      </c>
      <c r="D433" s="2">
        <v>104.114285714286</v>
      </c>
      <c r="E433" s="2" t="s">
        <v>1084</v>
      </c>
    </row>
    <row r="434" spans="1:5" x14ac:dyDescent="0.3">
      <c r="A434" s="2" t="s">
        <v>1516</v>
      </c>
      <c r="B434" s="2" t="s">
        <v>1096</v>
      </c>
      <c r="C434" s="2" t="s">
        <v>1083</v>
      </c>
      <c r="D434" s="2">
        <v>104.292857142857</v>
      </c>
      <c r="E434" s="2" t="s">
        <v>1081</v>
      </c>
    </row>
    <row r="435" spans="1:5" x14ac:dyDescent="0.3">
      <c r="A435" s="2" t="s">
        <v>1517</v>
      </c>
      <c r="B435" s="2" t="s">
        <v>1097</v>
      </c>
      <c r="C435" s="2" t="s">
        <v>1086</v>
      </c>
      <c r="D435" s="2">
        <v>104.471428571429</v>
      </c>
      <c r="E435" s="2" t="s">
        <v>1084</v>
      </c>
    </row>
    <row r="436" spans="1:5" x14ac:dyDescent="0.3">
      <c r="A436" s="2" t="s">
        <v>1518</v>
      </c>
      <c r="B436" s="2" t="s">
        <v>1098</v>
      </c>
      <c r="C436" s="2" t="s">
        <v>1083</v>
      </c>
      <c r="D436" s="2">
        <v>104.65</v>
      </c>
      <c r="E436" s="2" t="s">
        <v>1081</v>
      </c>
    </row>
    <row r="437" spans="1:5" x14ac:dyDescent="0.3">
      <c r="A437" s="2" t="s">
        <v>1519</v>
      </c>
      <c r="B437" s="2" t="s">
        <v>1079</v>
      </c>
      <c r="C437" s="2" t="s">
        <v>1080</v>
      </c>
      <c r="D437" s="2">
        <v>104.828571428571</v>
      </c>
      <c r="E437" s="2" t="s">
        <v>1081</v>
      </c>
    </row>
    <row r="438" spans="1:5" x14ac:dyDescent="0.3">
      <c r="A438" s="2" t="s">
        <v>1520</v>
      </c>
      <c r="B438" s="2" t="s">
        <v>1082</v>
      </c>
      <c r="C438" s="2" t="s">
        <v>1083</v>
      </c>
      <c r="D438" s="2">
        <v>105.00714285714299</v>
      </c>
      <c r="E438" s="2" t="s">
        <v>1084</v>
      </c>
    </row>
    <row r="439" spans="1:5" x14ac:dyDescent="0.3">
      <c r="A439" s="2" t="s">
        <v>1521</v>
      </c>
      <c r="B439" s="2" t="s">
        <v>1085</v>
      </c>
      <c r="C439" s="2" t="s">
        <v>1086</v>
      </c>
      <c r="D439" s="2">
        <v>105.185714285714</v>
      </c>
      <c r="E439" s="2" t="s">
        <v>1081</v>
      </c>
    </row>
    <row r="440" spans="1:5" x14ac:dyDescent="0.3">
      <c r="A440" s="2" t="s">
        <v>1522</v>
      </c>
      <c r="B440" s="2" t="s">
        <v>1087</v>
      </c>
      <c r="C440" s="2" t="s">
        <v>1086</v>
      </c>
      <c r="D440" s="2">
        <v>105.364285714286</v>
      </c>
      <c r="E440" s="2" t="s">
        <v>1084</v>
      </c>
    </row>
    <row r="441" spans="1:5" x14ac:dyDescent="0.3">
      <c r="A441" s="2" t="s">
        <v>1523</v>
      </c>
      <c r="B441" s="2" t="s">
        <v>1088</v>
      </c>
      <c r="C441" s="2" t="s">
        <v>1083</v>
      </c>
      <c r="D441" s="2">
        <v>105.542857142857</v>
      </c>
      <c r="E441" s="2" t="s">
        <v>1081</v>
      </c>
    </row>
    <row r="442" spans="1:5" x14ac:dyDescent="0.3">
      <c r="A442" s="2" t="s">
        <v>1524</v>
      </c>
      <c r="B442" s="2" t="s">
        <v>1089</v>
      </c>
      <c r="C442" s="2" t="s">
        <v>1086</v>
      </c>
      <c r="D442" s="2">
        <v>105.721428571429</v>
      </c>
      <c r="E442" s="2" t="s">
        <v>1084</v>
      </c>
    </row>
    <row r="443" spans="1:5" x14ac:dyDescent="0.3">
      <c r="A443" s="2" t="s">
        <v>1525</v>
      </c>
      <c r="B443" s="2" t="s">
        <v>1090</v>
      </c>
      <c r="C443" s="2" t="s">
        <v>1083</v>
      </c>
      <c r="D443" s="2">
        <v>105.9</v>
      </c>
      <c r="E443" s="2" t="s">
        <v>1081</v>
      </c>
    </row>
    <row r="444" spans="1:5" x14ac:dyDescent="0.3">
      <c r="A444" s="2" t="s">
        <v>1526</v>
      </c>
      <c r="B444" s="2" t="s">
        <v>1091</v>
      </c>
      <c r="C444" s="2" t="s">
        <v>1086</v>
      </c>
      <c r="D444" s="2">
        <v>106.078571428571</v>
      </c>
      <c r="E444" s="2" t="s">
        <v>1084</v>
      </c>
    </row>
    <row r="445" spans="1:5" x14ac:dyDescent="0.3">
      <c r="A445" s="2" t="s">
        <v>1527</v>
      </c>
      <c r="B445" s="2" t="s">
        <v>1092</v>
      </c>
      <c r="C445" s="2" t="s">
        <v>1083</v>
      </c>
      <c r="D445" s="2">
        <v>106.25714285714299</v>
      </c>
      <c r="E445" s="2" t="s">
        <v>1081</v>
      </c>
    </row>
    <row r="446" spans="1:5" x14ac:dyDescent="0.3">
      <c r="A446" s="2" t="s">
        <v>1528</v>
      </c>
      <c r="B446" s="2" t="s">
        <v>1093</v>
      </c>
      <c r="C446" s="2" t="s">
        <v>1086</v>
      </c>
      <c r="D446" s="2">
        <v>106.435714285714</v>
      </c>
      <c r="E446" s="2" t="s">
        <v>1084</v>
      </c>
    </row>
    <row r="447" spans="1:5" x14ac:dyDescent="0.3">
      <c r="A447" s="2" t="s">
        <v>1529</v>
      </c>
      <c r="B447" s="2" t="s">
        <v>1094</v>
      </c>
      <c r="C447" s="2" t="s">
        <v>1083</v>
      </c>
      <c r="D447" s="2">
        <v>106.614285714286</v>
      </c>
      <c r="E447" s="2" t="s">
        <v>1081</v>
      </c>
    </row>
    <row r="448" spans="1:5" x14ac:dyDescent="0.3">
      <c r="A448" s="2" t="s">
        <v>1530</v>
      </c>
      <c r="B448" s="2" t="s">
        <v>1095</v>
      </c>
      <c r="C448" s="2" t="s">
        <v>1086</v>
      </c>
      <c r="D448" s="2">
        <v>106.792857142857</v>
      </c>
      <c r="E448" s="2" t="s">
        <v>1084</v>
      </c>
    </row>
    <row r="449" spans="1:5" x14ac:dyDescent="0.3">
      <c r="A449" s="2" t="s">
        <v>1531</v>
      </c>
      <c r="B449" s="2" t="s">
        <v>1096</v>
      </c>
      <c r="C449" s="2" t="s">
        <v>1083</v>
      </c>
      <c r="D449" s="2">
        <v>106.971428571429</v>
      </c>
      <c r="E449" s="2" t="s">
        <v>1081</v>
      </c>
    </row>
    <row r="450" spans="1:5" x14ac:dyDescent="0.3">
      <c r="A450" s="2" t="s">
        <v>1532</v>
      </c>
      <c r="B450" s="2" t="s">
        <v>1097</v>
      </c>
      <c r="C450" s="2" t="s">
        <v>1086</v>
      </c>
      <c r="D450" s="2">
        <v>107.15</v>
      </c>
      <c r="E450" s="2" t="s">
        <v>1084</v>
      </c>
    </row>
    <row r="451" spans="1:5" x14ac:dyDescent="0.3">
      <c r="A451" s="2" t="s">
        <v>1533</v>
      </c>
      <c r="B451" s="2" t="s">
        <v>1098</v>
      </c>
      <c r="C451" s="2" t="s">
        <v>1083</v>
      </c>
      <c r="D451" s="2">
        <v>107.328571428571</v>
      </c>
      <c r="E451" s="2" t="s">
        <v>1081</v>
      </c>
    </row>
    <row r="452" spans="1:5" x14ac:dyDescent="0.3">
      <c r="A452" s="2" t="s">
        <v>1534</v>
      </c>
      <c r="B452" s="2" t="s">
        <v>1079</v>
      </c>
      <c r="C452" s="2" t="s">
        <v>1080</v>
      </c>
      <c r="D452" s="2">
        <v>107.50714285714299</v>
      </c>
      <c r="E452" s="2" t="s">
        <v>1081</v>
      </c>
    </row>
    <row r="453" spans="1:5" x14ac:dyDescent="0.3">
      <c r="A453" s="2" t="s">
        <v>1535</v>
      </c>
      <c r="B453" s="2" t="s">
        <v>1082</v>
      </c>
      <c r="C453" s="2" t="s">
        <v>1083</v>
      </c>
      <c r="D453" s="2">
        <v>107.685714285714</v>
      </c>
      <c r="E453" s="2" t="s">
        <v>1084</v>
      </c>
    </row>
    <row r="454" spans="1:5" x14ac:dyDescent="0.3">
      <c r="A454" s="2" t="s">
        <v>1536</v>
      </c>
      <c r="B454" s="2" t="s">
        <v>1085</v>
      </c>
      <c r="C454" s="2" t="s">
        <v>1086</v>
      </c>
      <c r="D454" s="2">
        <v>107.864285714286</v>
      </c>
      <c r="E454" s="2" t="s">
        <v>1081</v>
      </c>
    </row>
    <row r="455" spans="1:5" x14ac:dyDescent="0.3">
      <c r="A455" s="2" t="s">
        <v>1537</v>
      </c>
      <c r="B455" s="2" t="s">
        <v>1087</v>
      </c>
      <c r="C455" s="2" t="s">
        <v>1086</v>
      </c>
      <c r="D455" s="2">
        <v>108.042857142857</v>
      </c>
      <c r="E455" s="2" t="s">
        <v>1084</v>
      </c>
    </row>
    <row r="456" spans="1:5" x14ac:dyDescent="0.3">
      <c r="A456" s="2" t="s">
        <v>1538</v>
      </c>
      <c r="B456" s="2" t="s">
        <v>1088</v>
      </c>
      <c r="C456" s="2" t="s">
        <v>1083</v>
      </c>
      <c r="D456" s="2">
        <v>108.221428571429</v>
      </c>
      <c r="E456" s="2" t="s">
        <v>1081</v>
      </c>
    </row>
    <row r="457" spans="1:5" x14ac:dyDescent="0.3">
      <c r="A457" s="2" t="s">
        <v>1539</v>
      </c>
      <c r="B457" s="2" t="s">
        <v>1089</v>
      </c>
      <c r="C457" s="2" t="s">
        <v>1086</v>
      </c>
      <c r="D457" s="2">
        <v>108.4</v>
      </c>
      <c r="E457" s="2" t="s">
        <v>1084</v>
      </c>
    </row>
    <row r="458" spans="1:5" x14ac:dyDescent="0.3">
      <c r="A458" s="2" t="s">
        <v>1540</v>
      </c>
      <c r="B458" s="2" t="s">
        <v>1090</v>
      </c>
      <c r="C458" s="2" t="s">
        <v>1083</v>
      </c>
      <c r="D458" s="2">
        <v>108.578571428571</v>
      </c>
      <c r="E458" s="2" t="s">
        <v>1081</v>
      </c>
    </row>
    <row r="459" spans="1:5" x14ac:dyDescent="0.3">
      <c r="A459" s="2" t="s">
        <v>1541</v>
      </c>
      <c r="B459" s="2" t="s">
        <v>1091</v>
      </c>
      <c r="C459" s="2" t="s">
        <v>1086</v>
      </c>
      <c r="D459" s="2">
        <v>108.75714285714299</v>
      </c>
      <c r="E459" s="2" t="s">
        <v>1084</v>
      </c>
    </row>
    <row r="460" spans="1:5" x14ac:dyDescent="0.3">
      <c r="A460" s="2" t="s">
        <v>1542</v>
      </c>
      <c r="B460" s="2" t="s">
        <v>1092</v>
      </c>
      <c r="C460" s="2" t="s">
        <v>1083</v>
      </c>
      <c r="D460" s="2">
        <v>108.935714285714</v>
      </c>
      <c r="E460" s="2" t="s">
        <v>1081</v>
      </c>
    </row>
    <row r="461" spans="1:5" x14ac:dyDescent="0.3">
      <c r="A461" s="2" t="s">
        <v>1543</v>
      </c>
      <c r="B461" s="2" t="s">
        <v>1093</v>
      </c>
      <c r="C461" s="2" t="s">
        <v>1086</v>
      </c>
      <c r="D461" s="2">
        <v>109.114285714286</v>
      </c>
      <c r="E461" s="2" t="s">
        <v>1084</v>
      </c>
    </row>
    <row r="462" spans="1:5" x14ac:dyDescent="0.3">
      <c r="A462" s="2" t="s">
        <v>1544</v>
      </c>
      <c r="B462" s="2" t="s">
        <v>1094</v>
      </c>
      <c r="C462" s="2" t="s">
        <v>1083</v>
      </c>
      <c r="D462" s="2">
        <v>109.292857142857</v>
      </c>
      <c r="E462" s="2" t="s">
        <v>1081</v>
      </c>
    </row>
    <row r="463" spans="1:5" x14ac:dyDescent="0.3">
      <c r="A463" s="2" t="s">
        <v>1545</v>
      </c>
      <c r="B463" s="2" t="s">
        <v>1095</v>
      </c>
      <c r="C463" s="2" t="s">
        <v>1086</v>
      </c>
      <c r="D463" s="2">
        <v>109.471428571429</v>
      </c>
      <c r="E463" s="2" t="s">
        <v>1084</v>
      </c>
    </row>
    <row r="464" spans="1:5" x14ac:dyDescent="0.3">
      <c r="A464" s="2" t="s">
        <v>1546</v>
      </c>
      <c r="B464" s="2" t="s">
        <v>1096</v>
      </c>
      <c r="C464" s="2" t="s">
        <v>1083</v>
      </c>
      <c r="D464" s="2">
        <v>109.65</v>
      </c>
      <c r="E464" s="2" t="s">
        <v>1081</v>
      </c>
    </row>
    <row r="465" spans="1:5" x14ac:dyDescent="0.3">
      <c r="A465" s="2" t="s">
        <v>1547</v>
      </c>
      <c r="B465" s="2" t="s">
        <v>1097</v>
      </c>
      <c r="C465" s="2" t="s">
        <v>1086</v>
      </c>
      <c r="D465" s="2">
        <v>109.828571428571</v>
      </c>
      <c r="E465" s="2" t="s">
        <v>1084</v>
      </c>
    </row>
    <row r="466" spans="1:5" x14ac:dyDescent="0.3">
      <c r="A466" s="2" t="s">
        <v>1548</v>
      </c>
      <c r="B466" s="2" t="s">
        <v>1098</v>
      </c>
      <c r="C466" s="2" t="s">
        <v>1083</v>
      </c>
      <c r="D466" s="2">
        <v>110.00714285714299</v>
      </c>
      <c r="E466" s="2" t="s">
        <v>1081</v>
      </c>
    </row>
    <row r="467" spans="1:5" x14ac:dyDescent="0.3">
      <c r="A467" s="2" t="s">
        <v>1549</v>
      </c>
      <c r="B467" s="2" t="s">
        <v>1079</v>
      </c>
      <c r="C467" s="2" t="s">
        <v>1080</v>
      </c>
      <c r="D467" s="2">
        <v>110.185714285714</v>
      </c>
      <c r="E467" s="2" t="s">
        <v>1081</v>
      </c>
    </row>
    <row r="468" spans="1:5" x14ac:dyDescent="0.3">
      <c r="A468" s="2" t="s">
        <v>1550</v>
      </c>
      <c r="B468" s="2" t="s">
        <v>1082</v>
      </c>
      <c r="C468" s="2" t="s">
        <v>1083</v>
      </c>
      <c r="D468" s="2">
        <v>110.364285714286</v>
      </c>
      <c r="E468" s="2" t="s">
        <v>1084</v>
      </c>
    </row>
    <row r="469" spans="1:5" x14ac:dyDescent="0.3">
      <c r="A469" s="2" t="s">
        <v>1551</v>
      </c>
      <c r="B469" s="2" t="s">
        <v>1085</v>
      </c>
      <c r="C469" s="2" t="s">
        <v>1086</v>
      </c>
      <c r="D469" s="2">
        <v>110.542857142857</v>
      </c>
      <c r="E469" s="2" t="s">
        <v>1081</v>
      </c>
    </row>
    <row r="470" spans="1:5" x14ac:dyDescent="0.3">
      <c r="A470" s="2" t="s">
        <v>1552</v>
      </c>
      <c r="B470" s="2" t="s">
        <v>1087</v>
      </c>
      <c r="C470" s="2" t="s">
        <v>1086</v>
      </c>
      <c r="D470" s="2">
        <v>110.721428571429</v>
      </c>
      <c r="E470" s="2" t="s">
        <v>1084</v>
      </c>
    </row>
    <row r="471" spans="1:5" x14ac:dyDescent="0.3">
      <c r="A471" s="2" t="s">
        <v>1553</v>
      </c>
      <c r="B471" s="2" t="s">
        <v>1088</v>
      </c>
      <c r="C471" s="2" t="s">
        <v>1083</v>
      </c>
      <c r="D471" s="2">
        <v>110.9</v>
      </c>
      <c r="E471" s="2" t="s">
        <v>1081</v>
      </c>
    </row>
    <row r="472" spans="1:5" x14ac:dyDescent="0.3">
      <c r="A472" s="2" t="s">
        <v>1554</v>
      </c>
      <c r="B472" s="2" t="s">
        <v>1089</v>
      </c>
      <c r="C472" s="2" t="s">
        <v>1086</v>
      </c>
      <c r="D472" s="2">
        <v>111.078571428571</v>
      </c>
      <c r="E472" s="2" t="s">
        <v>1084</v>
      </c>
    </row>
    <row r="473" spans="1:5" x14ac:dyDescent="0.3">
      <c r="A473" s="2" t="s">
        <v>1555</v>
      </c>
      <c r="B473" s="2" t="s">
        <v>1090</v>
      </c>
      <c r="C473" s="2" t="s">
        <v>1083</v>
      </c>
      <c r="D473" s="2">
        <v>111.25714285714299</v>
      </c>
      <c r="E473" s="2" t="s">
        <v>1081</v>
      </c>
    </row>
    <row r="474" spans="1:5" x14ac:dyDescent="0.3">
      <c r="A474" s="2" t="s">
        <v>1556</v>
      </c>
      <c r="B474" s="2" t="s">
        <v>1091</v>
      </c>
      <c r="C474" s="2" t="s">
        <v>1086</v>
      </c>
      <c r="D474" s="2">
        <v>111.435714285714</v>
      </c>
      <c r="E474" s="2" t="s">
        <v>1084</v>
      </c>
    </row>
    <row r="475" spans="1:5" x14ac:dyDescent="0.3">
      <c r="A475" s="2" t="s">
        <v>1557</v>
      </c>
      <c r="B475" s="2" t="s">
        <v>1092</v>
      </c>
      <c r="C475" s="2" t="s">
        <v>1083</v>
      </c>
      <c r="D475" s="2">
        <v>111.614285714286</v>
      </c>
      <c r="E475" s="2" t="s">
        <v>1081</v>
      </c>
    </row>
    <row r="476" spans="1:5" x14ac:dyDescent="0.3">
      <c r="A476" s="2" t="s">
        <v>1558</v>
      </c>
      <c r="B476" s="2" t="s">
        <v>1093</v>
      </c>
      <c r="C476" s="2" t="s">
        <v>1086</v>
      </c>
      <c r="D476" s="2">
        <v>111.792857142857</v>
      </c>
      <c r="E476" s="2" t="s">
        <v>1084</v>
      </c>
    </row>
    <row r="477" spans="1:5" x14ac:dyDescent="0.3">
      <c r="A477" s="2" t="s">
        <v>1559</v>
      </c>
      <c r="B477" s="2" t="s">
        <v>1094</v>
      </c>
      <c r="C477" s="2" t="s">
        <v>1083</v>
      </c>
      <c r="D477" s="2">
        <v>111.971428571429</v>
      </c>
      <c r="E477" s="2" t="s">
        <v>1081</v>
      </c>
    </row>
    <row r="478" spans="1:5" x14ac:dyDescent="0.3">
      <c r="A478" s="2" t="s">
        <v>1560</v>
      </c>
      <c r="B478" s="2" t="s">
        <v>1095</v>
      </c>
      <c r="C478" s="2" t="s">
        <v>1086</v>
      </c>
      <c r="D478" s="2">
        <v>112.15</v>
      </c>
      <c r="E478" s="2" t="s">
        <v>1084</v>
      </c>
    </row>
    <row r="479" spans="1:5" x14ac:dyDescent="0.3">
      <c r="A479" s="2" t="s">
        <v>1561</v>
      </c>
      <c r="B479" s="2" t="s">
        <v>1096</v>
      </c>
      <c r="C479" s="2" t="s">
        <v>1083</v>
      </c>
      <c r="D479" s="2">
        <v>112.328571428571</v>
      </c>
      <c r="E479" s="2" t="s">
        <v>1081</v>
      </c>
    </row>
    <row r="480" spans="1:5" x14ac:dyDescent="0.3">
      <c r="A480" s="2" t="s">
        <v>1562</v>
      </c>
      <c r="B480" s="2" t="s">
        <v>1097</v>
      </c>
      <c r="C480" s="2" t="s">
        <v>1086</v>
      </c>
      <c r="D480" s="2">
        <v>112.50714285714299</v>
      </c>
      <c r="E480" s="2" t="s">
        <v>1084</v>
      </c>
    </row>
    <row r="481" spans="1:5" x14ac:dyDescent="0.3">
      <c r="A481" s="2" t="s">
        <v>1563</v>
      </c>
      <c r="B481" s="2" t="s">
        <v>1098</v>
      </c>
      <c r="C481" s="2" t="s">
        <v>1083</v>
      </c>
      <c r="D481" s="2">
        <v>112.685714285714</v>
      </c>
      <c r="E481" s="2" t="s">
        <v>1081</v>
      </c>
    </row>
    <row r="482" spans="1:5" x14ac:dyDescent="0.3">
      <c r="A482" s="2" t="s">
        <v>1564</v>
      </c>
      <c r="B482" s="2" t="s">
        <v>1079</v>
      </c>
      <c r="C482" s="2" t="s">
        <v>1080</v>
      </c>
      <c r="D482" s="2">
        <v>112.864285714286</v>
      </c>
      <c r="E482" s="2" t="s">
        <v>1081</v>
      </c>
    </row>
    <row r="483" spans="1:5" x14ac:dyDescent="0.3">
      <c r="A483" s="2" t="s">
        <v>1565</v>
      </c>
      <c r="B483" s="2" t="s">
        <v>1082</v>
      </c>
      <c r="C483" s="2" t="s">
        <v>1083</v>
      </c>
      <c r="D483" s="2">
        <v>113.042857142857</v>
      </c>
      <c r="E483" s="2" t="s">
        <v>1084</v>
      </c>
    </row>
    <row r="484" spans="1:5" x14ac:dyDescent="0.3">
      <c r="A484" s="2" t="s">
        <v>1566</v>
      </c>
      <c r="B484" s="2" t="s">
        <v>1085</v>
      </c>
      <c r="C484" s="2" t="s">
        <v>1086</v>
      </c>
      <c r="D484" s="2">
        <v>113.221428571429</v>
      </c>
      <c r="E484" s="2" t="s">
        <v>1081</v>
      </c>
    </row>
    <row r="485" spans="1:5" x14ac:dyDescent="0.3">
      <c r="A485" s="2" t="s">
        <v>1567</v>
      </c>
      <c r="B485" s="2" t="s">
        <v>1087</v>
      </c>
      <c r="C485" s="2" t="s">
        <v>1086</v>
      </c>
      <c r="D485" s="2">
        <v>113.4</v>
      </c>
      <c r="E485" s="2" t="s">
        <v>1084</v>
      </c>
    </row>
    <row r="486" spans="1:5" x14ac:dyDescent="0.3">
      <c r="A486" s="2" t="s">
        <v>1568</v>
      </c>
      <c r="B486" s="2" t="s">
        <v>1088</v>
      </c>
      <c r="C486" s="2" t="s">
        <v>1083</v>
      </c>
      <c r="D486" s="2">
        <v>113.578571428571</v>
      </c>
      <c r="E486" s="2" t="s">
        <v>1081</v>
      </c>
    </row>
    <row r="487" spans="1:5" x14ac:dyDescent="0.3">
      <c r="A487" s="2" t="s">
        <v>1569</v>
      </c>
      <c r="B487" s="2" t="s">
        <v>1089</v>
      </c>
      <c r="C487" s="2" t="s">
        <v>1086</v>
      </c>
      <c r="D487" s="2">
        <v>113.75714285714299</v>
      </c>
      <c r="E487" s="2" t="s">
        <v>1084</v>
      </c>
    </row>
    <row r="488" spans="1:5" x14ac:dyDescent="0.3">
      <c r="A488" s="2" t="s">
        <v>1570</v>
      </c>
      <c r="B488" s="2" t="s">
        <v>1090</v>
      </c>
      <c r="C488" s="2" t="s">
        <v>1083</v>
      </c>
      <c r="D488" s="2">
        <v>113.935714285714</v>
      </c>
      <c r="E488" s="2" t="s">
        <v>1081</v>
      </c>
    </row>
    <row r="489" spans="1:5" x14ac:dyDescent="0.3">
      <c r="A489" s="2" t="s">
        <v>1571</v>
      </c>
      <c r="B489" s="2" t="s">
        <v>1091</v>
      </c>
      <c r="C489" s="2" t="s">
        <v>1086</v>
      </c>
      <c r="D489" s="2">
        <v>114.114285714286</v>
      </c>
      <c r="E489" s="2" t="s">
        <v>1084</v>
      </c>
    </row>
    <row r="490" spans="1:5" x14ac:dyDescent="0.3">
      <c r="A490" s="2" t="s">
        <v>1572</v>
      </c>
      <c r="B490" s="2" t="s">
        <v>1092</v>
      </c>
      <c r="C490" s="2" t="s">
        <v>1083</v>
      </c>
      <c r="D490" s="2">
        <v>114.292857142857</v>
      </c>
      <c r="E490" s="2" t="s">
        <v>1081</v>
      </c>
    </row>
    <row r="491" spans="1:5" x14ac:dyDescent="0.3">
      <c r="A491" s="2" t="s">
        <v>1573</v>
      </c>
      <c r="B491" s="2" t="s">
        <v>1093</v>
      </c>
      <c r="C491" s="2" t="s">
        <v>1086</v>
      </c>
      <c r="D491" s="2">
        <v>114.471428571429</v>
      </c>
      <c r="E491" s="2" t="s">
        <v>1084</v>
      </c>
    </row>
    <row r="492" spans="1:5" x14ac:dyDescent="0.3">
      <c r="A492" s="2" t="s">
        <v>1574</v>
      </c>
      <c r="B492" s="2" t="s">
        <v>1094</v>
      </c>
      <c r="C492" s="2" t="s">
        <v>1083</v>
      </c>
      <c r="D492" s="2">
        <v>114.65</v>
      </c>
      <c r="E492" s="2" t="s">
        <v>1081</v>
      </c>
    </row>
    <row r="493" spans="1:5" x14ac:dyDescent="0.3">
      <c r="A493" s="2" t="s">
        <v>1575</v>
      </c>
      <c r="B493" s="2" t="s">
        <v>1095</v>
      </c>
      <c r="C493" s="2" t="s">
        <v>1086</v>
      </c>
      <c r="D493" s="2">
        <v>114.828571428571</v>
      </c>
      <c r="E493" s="2" t="s">
        <v>1084</v>
      </c>
    </row>
    <row r="494" spans="1:5" x14ac:dyDescent="0.3">
      <c r="A494" s="2" t="s">
        <v>1576</v>
      </c>
      <c r="B494" s="2" t="s">
        <v>1096</v>
      </c>
      <c r="C494" s="2" t="s">
        <v>1083</v>
      </c>
      <c r="D494" s="2">
        <v>115.00714285714299</v>
      </c>
      <c r="E494" s="2" t="s">
        <v>1081</v>
      </c>
    </row>
    <row r="495" spans="1:5" x14ac:dyDescent="0.3">
      <c r="A495" s="2" t="s">
        <v>1577</v>
      </c>
      <c r="B495" s="2" t="s">
        <v>1097</v>
      </c>
      <c r="C495" s="2" t="s">
        <v>1086</v>
      </c>
      <c r="D495" s="2">
        <v>115.185714285714</v>
      </c>
      <c r="E495" s="2" t="s">
        <v>1084</v>
      </c>
    </row>
    <row r="496" spans="1:5" x14ac:dyDescent="0.3">
      <c r="A496" s="2" t="s">
        <v>1578</v>
      </c>
      <c r="B496" s="2" t="s">
        <v>1098</v>
      </c>
      <c r="C496" s="2" t="s">
        <v>1083</v>
      </c>
      <c r="D496" s="2">
        <v>115.364285714286</v>
      </c>
      <c r="E496" s="2" t="s">
        <v>1081</v>
      </c>
    </row>
    <row r="497" spans="1:5" x14ac:dyDescent="0.3">
      <c r="A497" s="2" t="s">
        <v>1579</v>
      </c>
      <c r="B497" s="2" t="s">
        <v>1079</v>
      </c>
      <c r="C497" s="2" t="s">
        <v>1080</v>
      </c>
      <c r="D497" s="2">
        <v>115.542857142857</v>
      </c>
      <c r="E497" s="2" t="s">
        <v>1081</v>
      </c>
    </row>
    <row r="498" spans="1:5" x14ac:dyDescent="0.3">
      <c r="A498" s="2" t="s">
        <v>1580</v>
      </c>
      <c r="B498" s="2" t="s">
        <v>1082</v>
      </c>
      <c r="C498" s="2" t="s">
        <v>1083</v>
      </c>
      <c r="D498" s="2">
        <v>115.721428571429</v>
      </c>
      <c r="E498" s="2" t="s">
        <v>1084</v>
      </c>
    </row>
    <row r="499" spans="1:5" x14ac:dyDescent="0.3">
      <c r="A499" s="2" t="s">
        <v>1581</v>
      </c>
      <c r="B499" s="2" t="s">
        <v>1085</v>
      </c>
      <c r="C499" s="2" t="s">
        <v>1086</v>
      </c>
      <c r="D499" s="2">
        <v>115.9</v>
      </c>
      <c r="E499" s="2" t="s">
        <v>1081</v>
      </c>
    </row>
    <row r="500" spans="1:5" x14ac:dyDescent="0.3">
      <c r="A500" s="2" t="s">
        <v>1582</v>
      </c>
      <c r="B500" s="2" t="s">
        <v>1087</v>
      </c>
      <c r="C500" s="2" t="s">
        <v>1086</v>
      </c>
      <c r="D500" s="2">
        <v>116.078571428571</v>
      </c>
      <c r="E500" s="2" t="s">
        <v>1084</v>
      </c>
    </row>
    <row r="501" spans="1:5" x14ac:dyDescent="0.3">
      <c r="A501" s="2" t="s">
        <v>1583</v>
      </c>
      <c r="B501" s="2" t="s">
        <v>1088</v>
      </c>
      <c r="C501" s="2" t="s">
        <v>1083</v>
      </c>
      <c r="D501" s="2">
        <v>116.25714285714299</v>
      </c>
      <c r="E501" s="2" t="s">
        <v>1081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870F-5518-4C4A-8FF8-7EEABB617EC2}">
  <dimension ref="A1:D501"/>
  <sheetViews>
    <sheetView workbookViewId="0">
      <selection activeCell="B3" sqref="B3"/>
    </sheetView>
  </sheetViews>
  <sheetFormatPr defaultRowHeight="14.4" x14ac:dyDescent="0.3"/>
  <cols>
    <col min="1" max="1" width="7.33203125" bestFit="1" customWidth="1"/>
    <col min="2" max="2" width="15" bestFit="1" customWidth="1"/>
    <col min="3" max="3" width="10.77734375" bestFit="1" customWidth="1"/>
    <col min="4" max="4" width="11.33203125" bestFit="1" customWidth="1"/>
  </cols>
  <sheetData>
    <row r="1" spans="1:4" x14ac:dyDescent="0.3">
      <c r="A1" s="3" t="s">
        <v>4</v>
      </c>
      <c r="B1" s="3" t="s">
        <v>1584</v>
      </c>
      <c r="C1" s="3" t="s">
        <v>1585</v>
      </c>
      <c r="D1" s="3" t="s">
        <v>1586</v>
      </c>
    </row>
    <row r="2" spans="1:4" x14ac:dyDescent="0.3">
      <c r="A2" s="2" t="s">
        <v>14</v>
      </c>
      <c r="B2" s="2" t="s">
        <v>1587</v>
      </c>
      <c r="C2" s="2" t="s">
        <v>1588</v>
      </c>
      <c r="D2" s="2">
        <v>450000</v>
      </c>
    </row>
    <row r="3" spans="1:4" x14ac:dyDescent="0.3">
      <c r="A3" s="2" t="s">
        <v>27</v>
      </c>
      <c r="B3" s="2" t="s">
        <v>1082</v>
      </c>
      <c r="C3" s="2" t="s">
        <v>1588</v>
      </c>
      <c r="D3" s="2">
        <v>500000</v>
      </c>
    </row>
    <row r="4" spans="1:4" x14ac:dyDescent="0.3">
      <c r="A4" s="2" t="s">
        <v>21</v>
      </c>
      <c r="B4" s="2" t="s">
        <v>1085</v>
      </c>
      <c r="C4" s="2" t="s">
        <v>1588</v>
      </c>
      <c r="D4" s="2">
        <v>400000</v>
      </c>
    </row>
    <row r="5" spans="1:4" x14ac:dyDescent="0.3">
      <c r="A5" s="2" t="s">
        <v>38</v>
      </c>
      <c r="B5" s="2" t="s">
        <v>1087</v>
      </c>
      <c r="C5" s="2" t="s">
        <v>1588</v>
      </c>
      <c r="D5" s="2">
        <v>475000</v>
      </c>
    </row>
    <row r="6" spans="1:4" x14ac:dyDescent="0.3">
      <c r="A6" s="2" t="s">
        <v>44</v>
      </c>
      <c r="B6" s="2" t="s">
        <v>1088</v>
      </c>
      <c r="C6" s="2" t="s">
        <v>1588</v>
      </c>
      <c r="D6" s="2">
        <v>425000</v>
      </c>
    </row>
    <row r="7" spans="1:4" x14ac:dyDescent="0.3">
      <c r="A7" s="2" t="s">
        <v>1589</v>
      </c>
      <c r="B7" s="2" t="s">
        <v>1587</v>
      </c>
      <c r="C7" s="2" t="s">
        <v>1588</v>
      </c>
      <c r="D7" s="2">
        <v>427500</v>
      </c>
    </row>
    <row r="8" spans="1:4" x14ac:dyDescent="0.3">
      <c r="A8" s="2" t="s">
        <v>1590</v>
      </c>
      <c r="B8" s="2" t="s">
        <v>1082</v>
      </c>
      <c r="C8" s="2" t="s">
        <v>1588</v>
      </c>
      <c r="D8" s="2">
        <v>420000</v>
      </c>
    </row>
    <row r="9" spans="1:4" x14ac:dyDescent="0.3">
      <c r="A9" s="2" t="s">
        <v>1591</v>
      </c>
      <c r="B9" s="2" t="s">
        <v>1085</v>
      </c>
      <c r="C9" s="2" t="s">
        <v>1588</v>
      </c>
      <c r="D9" s="2">
        <v>412500</v>
      </c>
    </row>
    <row r="10" spans="1:4" x14ac:dyDescent="0.3">
      <c r="A10" s="2" t="s">
        <v>1592</v>
      </c>
      <c r="B10" s="2" t="s">
        <v>1087</v>
      </c>
      <c r="C10" s="2" t="s">
        <v>1588</v>
      </c>
      <c r="D10" s="2">
        <v>405000</v>
      </c>
    </row>
    <row r="11" spans="1:4" x14ac:dyDescent="0.3">
      <c r="A11" s="2" t="s">
        <v>1593</v>
      </c>
      <c r="B11" s="2" t="s">
        <v>1088</v>
      </c>
      <c r="C11" s="2" t="s">
        <v>1588</v>
      </c>
      <c r="D11" s="2">
        <v>397500</v>
      </c>
    </row>
    <row r="12" spans="1:4" x14ac:dyDescent="0.3">
      <c r="A12" s="2" t="s">
        <v>1594</v>
      </c>
      <c r="B12" s="2" t="s">
        <v>1587</v>
      </c>
      <c r="C12" s="2" t="s">
        <v>1588</v>
      </c>
      <c r="D12" s="2">
        <v>390000</v>
      </c>
    </row>
    <row r="13" spans="1:4" x14ac:dyDescent="0.3">
      <c r="A13" s="2" t="s">
        <v>1595</v>
      </c>
      <c r="B13" s="2" t="s">
        <v>1082</v>
      </c>
      <c r="C13" s="2" t="s">
        <v>1588</v>
      </c>
      <c r="D13" s="2">
        <v>382500</v>
      </c>
    </row>
    <row r="14" spans="1:4" x14ac:dyDescent="0.3">
      <c r="A14" s="2" t="s">
        <v>1596</v>
      </c>
      <c r="B14" s="2" t="s">
        <v>1085</v>
      </c>
      <c r="C14" s="2" t="s">
        <v>1588</v>
      </c>
      <c r="D14" s="2">
        <v>375000</v>
      </c>
    </row>
    <row r="15" spans="1:4" x14ac:dyDescent="0.3">
      <c r="A15" s="2" t="s">
        <v>1597</v>
      </c>
      <c r="B15" s="2" t="s">
        <v>1087</v>
      </c>
      <c r="C15" s="2" t="s">
        <v>1588</v>
      </c>
      <c r="D15" s="2">
        <v>367500</v>
      </c>
    </row>
    <row r="16" spans="1:4" x14ac:dyDescent="0.3">
      <c r="A16" s="2" t="s">
        <v>1598</v>
      </c>
      <c r="B16" s="2" t="s">
        <v>1088</v>
      </c>
      <c r="C16" s="2" t="s">
        <v>1588</v>
      </c>
      <c r="D16" s="2">
        <v>360000</v>
      </c>
    </row>
    <row r="17" spans="1:4" x14ac:dyDescent="0.3">
      <c r="A17" s="2" t="s">
        <v>1599</v>
      </c>
      <c r="B17" s="2" t="s">
        <v>1587</v>
      </c>
      <c r="C17" s="2" t="s">
        <v>1588</v>
      </c>
      <c r="D17" s="2">
        <v>352500</v>
      </c>
    </row>
    <row r="18" spans="1:4" x14ac:dyDescent="0.3">
      <c r="A18" s="2" t="s">
        <v>1600</v>
      </c>
      <c r="B18" s="2" t="s">
        <v>1082</v>
      </c>
      <c r="C18" s="2" t="s">
        <v>1588</v>
      </c>
      <c r="D18" s="2">
        <v>345000</v>
      </c>
    </row>
    <row r="19" spans="1:4" x14ac:dyDescent="0.3">
      <c r="A19" s="2" t="s">
        <v>1601</v>
      </c>
      <c r="B19" s="2" t="s">
        <v>1085</v>
      </c>
      <c r="C19" s="2" t="s">
        <v>1588</v>
      </c>
      <c r="D19" s="2">
        <v>337500</v>
      </c>
    </row>
    <row r="20" spans="1:4" x14ac:dyDescent="0.3">
      <c r="A20" s="2" t="s">
        <v>1602</v>
      </c>
      <c r="B20" s="2" t="s">
        <v>1087</v>
      </c>
      <c r="C20" s="2" t="s">
        <v>1588</v>
      </c>
      <c r="D20" s="2">
        <v>330000</v>
      </c>
    </row>
    <row r="21" spans="1:4" x14ac:dyDescent="0.3">
      <c r="A21" s="2" t="s">
        <v>1603</v>
      </c>
      <c r="B21" s="2" t="s">
        <v>1088</v>
      </c>
      <c r="C21" s="2" t="s">
        <v>1588</v>
      </c>
      <c r="D21" s="2">
        <v>322500</v>
      </c>
    </row>
    <row r="22" spans="1:4" x14ac:dyDescent="0.3">
      <c r="A22" s="2" t="s">
        <v>1604</v>
      </c>
      <c r="B22" s="2" t="s">
        <v>1587</v>
      </c>
      <c r="C22" s="2" t="s">
        <v>1588</v>
      </c>
      <c r="D22" s="2">
        <v>315000</v>
      </c>
    </row>
    <row r="23" spans="1:4" x14ac:dyDescent="0.3">
      <c r="A23" s="2" t="s">
        <v>1605</v>
      </c>
      <c r="B23" s="2" t="s">
        <v>1082</v>
      </c>
      <c r="C23" s="2" t="s">
        <v>1588</v>
      </c>
      <c r="D23" s="2">
        <v>307500</v>
      </c>
    </row>
    <row r="24" spans="1:4" x14ac:dyDescent="0.3">
      <c r="A24" s="2" t="s">
        <v>1606</v>
      </c>
      <c r="B24" s="2" t="s">
        <v>1085</v>
      </c>
      <c r="C24" s="2" t="s">
        <v>1588</v>
      </c>
      <c r="D24" s="2">
        <v>300000</v>
      </c>
    </row>
    <row r="25" spans="1:4" x14ac:dyDescent="0.3">
      <c r="A25" s="2" t="s">
        <v>1607</v>
      </c>
      <c r="B25" s="2" t="s">
        <v>1087</v>
      </c>
      <c r="C25" s="2" t="s">
        <v>1588</v>
      </c>
      <c r="D25" s="2">
        <v>292500</v>
      </c>
    </row>
    <row r="26" spans="1:4" x14ac:dyDescent="0.3">
      <c r="A26" s="2" t="s">
        <v>1608</v>
      </c>
      <c r="B26" s="2" t="s">
        <v>1088</v>
      </c>
      <c r="C26" s="2" t="s">
        <v>1588</v>
      </c>
      <c r="D26" s="2">
        <v>285000</v>
      </c>
    </row>
    <row r="27" spans="1:4" x14ac:dyDescent="0.3">
      <c r="A27" s="2" t="s">
        <v>1609</v>
      </c>
      <c r="B27" s="2" t="s">
        <v>1587</v>
      </c>
      <c r="C27" s="2" t="s">
        <v>1588</v>
      </c>
      <c r="D27" s="2">
        <v>277500</v>
      </c>
    </row>
    <row r="28" spans="1:4" x14ac:dyDescent="0.3">
      <c r="A28" s="2" t="s">
        <v>1610</v>
      </c>
      <c r="B28" s="2" t="s">
        <v>1082</v>
      </c>
      <c r="C28" s="2" t="s">
        <v>1588</v>
      </c>
      <c r="D28" s="2">
        <v>270000</v>
      </c>
    </row>
    <row r="29" spans="1:4" x14ac:dyDescent="0.3">
      <c r="A29" s="2" t="s">
        <v>1611</v>
      </c>
      <c r="B29" s="2" t="s">
        <v>1085</v>
      </c>
      <c r="C29" s="2" t="s">
        <v>1588</v>
      </c>
      <c r="D29" s="2">
        <v>262500</v>
      </c>
    </row>
    <row r="30" spans="1:4" x14ac:dyDescent="0.3">
      <c r="A30" s="2" t="s">
        <v>1612</v>
      </c>
      <c r="B30" s="2" t="s">
        <v>1087</v>
      </c>
      <c r="C30" s="2" t="s">
        <v>1588</v>
      </c>
      <c r="D30" s="2">
        <v>255000</v>
      </c>
    </row>
    <row r="31" spans="1:4" x14ac:dyDescent="0.3">
      <c r="A31" s="2" t="s">
        <v>1613</v>
      </c>
      <c r="B31" s="2" t="s">
        <v>1088</v>
      </c>
      <c r="C31" s="2" t="s">
        <v>1588</v>
      </c>
      <c r="D31" s="2">
        <v>247500</v>
      </c>
    </row>
    <row r="32" spans="1:4" x14ac:dyDescent="0.3">
      <c r="A32" s="2" t="s">
        <v>1614</v>
      </c>
      <c r="B32" s="2" t="s">
        <v>1587</v>
      </c>
      <c r="C32" s="2" t="s">
        <v>1588</v>
      </c>
      <c r="D32" s="2">
        <v>240000</v>
      </c>
    </row>
    <row r="33" spans="1:4" x14ac:dyDescent="0.3">
      <c r="A33" s="2" t="s">
        <v>1615</v>
      </c>
      <c r="B33" s="2" t="s">
        <v>1082</v>
      </c>
      <c r="C33" s="2" t="s">
        <v>1588</v>
      </c>
      <c r="D33" s="2">
        <v>232500</v>
      </c>
    </row>
    <row r="34" spans="1:4" x14ac:dyDescent="0.3">
      <c r="A34" s="2" t="s">
        <v>1616</v>
      </c>
      <c r="B34" s="2" t="s">
        <v>1085</v>
      </c>
      <c r="C34" s="2" t="s">
        <v>1588</v>
      </c>
      <c r="D34" s="2">
        <v>225000</v>
      </c>
    </row>
    <row r="35" spans="1:4" x14ac:dyDescent="0.3">
      <c r="A35" s="2" t="s">
        <v>1617</v>
      </c>
      <c r="B35" s="2" t="s">
        <v>1087</v>
      </c>
      <c r="C35" s="2" t="s">
        <v>1588</v>
      </c>
      <c r="D35" s="2">
        <v>217500</v>
      </c>
    </row>
    <row r="36" spans="1:4" x14ac:dyDescent="0.3">
      <c r="A36" s="2" t="s">
        <v>1618</v>
      </c>
      <c r="B36" s="2" t="s">
        <v>1088</v>
      </c>
      <c r="C36" s="2" t="s">
        <v>1588</v>
      </c>
      <c r="D36" s="2">
        <v>210000</v>
      </c>
    </row>
    <row r="37" spans="1:4" x14ac:dyDescent="0.3">
      <c r="A37" s="2" t="s">
        <v>1619</v>
      </c>
      <c r="B37" s="2" t="s">
        <v>1587</v>
      </c>
      <c r="C37" s="2" t="s">
        <v>1588</v>
      </c>
      <c r="D37" s="2">
        <v>202500</v>
      </c>
    </row>
    <row r="38" spans="1:4" x14ac:dyDescent="0.3">
      <c r="A38" s="2" t="s">
        <v>1620</v>
      </c>
      <c r="B38" s="2" t="s">
        <v>1082</v>
      </c>
      <c r="C38" s="2" t="s">
        <v>1588</v>
      </c>
      <c r="D38" s="2">
        <v>195000</v>
      </c>
    </row>
    <row r="39" spans="1:4" x14ac:dyDescent="0.3">
      <c r="A39" s="2" t="s">
        <v>1621</v>
      </c>
      <c r="B39" s="2" t="s">
        <v>1085</v>
      </c>
      <c r="C39" s="2" t="s">
        <v>1588</v>
      </c>
      <c r="D39" s="2">
        <v>187500</v>
      </c>
    </row>
    <row r="40" spans="1:4" x14ac:dyDescent="0.3">
      <c r="A40" s="2" t="s">
        <v>1622</v>
      </c>
      <c r="B40" s="2" t="s">
        <v>1087</v>
      </c>
      <c r="C40" s="2" t="s">
        <v>1588</v>
      </c>
      <c r="D40" s="2">
        <v>180000</v>
      </c>
    </row>
    <row r="41" spans="1:4" x14ac:dyDescent="0.3">
      <c r="A41" s="2" t="s">
        <v>1623</v>
      </c>
      <c r="B41" s="2" t="s">
        <v>1088</v>
      </c>
      <c r="C41" s="2" t="s">
        <v>1588</v>
      </c>
      <c r="D41" s="2">
        <v>172500</v>
      </c>
    </row>
    <row r="42" spans="1:4" x14ac:dyDescent="0.3">
      <c r="A42" s="2" t="s">
        <v>1624</v>
      </c>
      <c r="B42" s="2" t="s">
        <v>1587</v>
      </c>
      <c r="C42" s="2" t="s">
        <v>1588</v>
      </c>
      <c r="D42" s="2">
        <v>165000</v>
      </c>
    </row>
    <row r="43" spans="1:4" x14ac:dyDescent="0.3">
      <c r="A43" s="2" t="s">
        <v>1625</v>
      </c>
      <c r="B43" s="2" t="s">
        <v>1082</v>
      </c>
      <c r="C43" s="2" t="s">
        <v>1588</v>
      </c>
      <c r="D43" s="2">
        <v>157500</v>
      </c>
    </row>
    <row r="44" spans="1:4" x14ac:dyDescent="0.3">
      <c r="A44" s="2" t="s">
        <v>1626</v>
      </c>
      <c r="B44" s="2" t="s">
        <v>1085</v>
      </c>
      <c r="C44" s="2" t="s">
        <v>1588</v>
      </c>
      <c r="D44" s="2">
        <v>150000</v>
      </c>
    </row>
    <row r="45" spans="1:4" x14ac:dyDescent="0.3">
      <c r="A45" s="2" t="s">
        <v>1627</v>
      </c>
      <c r="B45" s="2" t="s">
        <v>1087</v>
      </c>
      <c r="C45" s="2" t="s">
        <v>1588</v>
      </c>
      <c r="D45" s="2">
        <v>142500</v>
      </c>
    </row>
    <row r="46" spans="1:4" x14ac:dyDescent="0.3">
      <c r="A46" s="2" t="s">
        <v>1628</v>
      </c>
      <c r="B46" s="2" t="s">
        <v>1088</v>
      </c>
      <c r="C46" s="2" t="s">
        <v>1588</v>
      </c>
      <c r="D46" s="2">
        <v>135000</v>
      </c>
    </row>
    <row r="47" spans="1:4" x14ac:dyDescent="0.3">
      <c r="A47" s="2" t="s">
        <v>1629</v>
      </c>
      <c r="B47" s="2" t="s">
        <v>1587</v>
      </c>
      <c r="C47" s="2" t="s">
        <v>1588</v>
      </c>
      <c r="D47" s="2">
        <v>127500</v>
      </c>
    </row>
    <row r="48" spans="1:4" x14ac:dyDescent="0.3">
      <c r="A48" s="2" t="s">
        <v>1630</v>
      </c>
      <c r="B48" s="2" t="s">
        <v>1082</v>
      </c>
      <c r="C48" s="2" t="s">
        <v>1588</v>
      </c>
      <c r="D48" s="2">
        <v>120000</v>
      </c>
    </row>
    <row r="49" spans="1:4" x14ac:dyDescent="0.3">
      <c r="A49" s="2" t="s">
        <v>1631</v>
      </c>
      <c r="B49" s="2" t="s">
        <v>1085</v>
      </c>
      <c r="C49" s="2" t="s">
        <v>1588</v>
      </c>
      <c r="D49" s="2">
        <v>112500</v>
      </c>
    </row>
    <row r="50" spans="1:4" x14ac:dyDescent="0.3">
      <c r="A50" s="2" t="s">
        <v>1632</v>
      </c>
      <c r="B50" s="2" t="s">
        <v>1087</v>
      </c>
      <c r="C50" s="2" t="s">
        <v>1588</v>
      </c>
      <c r="D50" s="2">
        <v>105000</v>
      </c>
    </row>
    <row r="51" spans="1:4" x14ac:dyDescent="0.3">
      <c r="A51" s="2" t="s">
        <v>1633</v>
      </c>
      <c r="B51" s="2" t="s">
        <v>1088</v>
      </c>
      <c r="C51" s="2" t="s">
        <v>1588</v>
      </c>
      <c r="D51" s="2">
        <v>97500</v>
      </c>
    </row>
    <row r="52" spans="1:4" x14ac:dyDescent="0.3">
      <c r="A52" s="2" t="s">
        <v>1634</v>
      </c>
      <c r="B52" s="2" t="s">
        <v>1587</v>
      </c>
      <c r="C52" s="2" t="s">
        <v>1588</v>
      </c>
      <c r="D52" s="2">
        <v>90000</v>
      </c>
    </row>
    <row r="53" spans="1:4" x14ac:dyDescent="0.3">
      <c r="A53" s="2" t="s">
        <v>1635</v>
      </c>
      <c r="B53" s="2" t="s">
        <v>1082</v>
      </c>
      <c r="C53" s="2" t="s">
        <v>1588</v>
      </c>
      <c r="D53" s="2">
        <v>82500</v>
      </c>
    </row>
    <row r="54" spans="1:4" x14ac:dyDescent="0.3">
      <c r="A54" s="2" t="s">
        <v>1636</v>
      </c>
      <c r="B54" s="2" t="s">
        <v>1085</v>
      </c>
      <c r="C54" s="2" t="s">
        <v>1588</v>
      </c>
      <c r="D54" s="2">
        <v>75000</v>
      </c>
    </row>
    <row r="55" spans="1:4" x14ac:dyDescent="0.3">
      <c r="A55" s="2" t="s">
        <v>1637</v>
      </c>
      <c r="B55" s="2" t="s">
        <v>1087</v>
      </c>
      <c r="C55" s="2" t="s">
        <v>1588</v>
      </c>
      <c r="D55" s="2">
        <v>67500</v>
      </c>
    </row>
    <row r="56" spans="1:4" x14ac:dyDescent="0.3">
      <c r="A56" s="2" t="s">
        <v>1638</v>
      </c>
      <c r="B56" s="2" t="s">
        <v>1088</v>
      </c>
      <c r="C56" s="2" t="s">
        <v>1588</v>
      </c>
      <c r="D56" s="2">
        <v>60000</v>
      </c>
    </row>
    <row r="57" spans="1:4" x14ac:dyDescent="0.3">
      <c r="A57" s="2" t="s">
        <v>1639</v>
      </c>
      <c r="B57" s="2" t="s">
        <v>1587</v>
      </c>
      <c r="C57" s="2" t="s">
        <v>1588</v>
      </c>
      <c r="D57" s="2">
        <v>52500</v>
      </c>
    </row>
    <row r="58" spans="1:4" x14ac:dyDescent="0.3">
      <c r="A58" s="2" t="s">
        <v>1640</v>
      </c>
      <c r="B58" s="2" t="s">
        <v>1082</v>
      </c>
      <c r="C58" s="2" t="s">
        <v>1588</v>
      </c>
      <c r="D58" s="2">
        <v>45000</v>
      </c>
    </row>
    <row r="59" spans="1:4" x14ac:dyDescent="0.3">
      <c r="A59" s="2" t="s">
        <v>1641</v>
      </c>
      <c r="B59" s="2" t="s">
        <v>1085</v>
      </c>
      <c r="C59" s="2" t="s">
        <v>1588</v>
      </c>
      <c r="D59" s="2">
        <v>37500</v>
      </c>
    </row>
    <row r="60" spans="1:4" x14ac:dyDescent="0.3">
      <c r="A60" s="2" t="s">
        <v>1642</v>
      </c>
      <c r="B60" s="2" t="s">
        <v>1087</v>
      </c>
      <c r="C60" s="2" t="s">
        <v>1588</v>
      </c>
      <c r="D60" s="2">
        <v>30000</v>
      </c>
    </row>
    <row r="61" spans="1:4" x14ac:dyDescent="0.3">
      <c r="A61" s="2" t="s">
        <v>1643</v>
      </c>
      <c r="B61" s="2" t="s">
        <v>1088</v>
      </c>
      <c r="C61" s="2" t="s">
        <v>1588</v>
      </c>
      <c r="D61" s="2">
        <v>22500</v>
      </c>
    </row>
    <row r="62" spans="1:4" x14ac:dyDescent="0.3">
      <c r="A62" s="2" t="s">
        <v>1644</v>
      </c>
      <c r="B62" s="2" t="s">
        <v>1587</v>
      </c>
      <c r="C62" s="2" t="s">
        <v>1588</v>
      </c>
      <c r="D62" s="2">
        <v>15000</v>
      </c>
    </row>
    <row r="63" spans="1:4" x14ac:dyDescent="0.3">
      <c r="A63" s="2" t="s">
        <v>1645</v>
      </c>
      <c r="B63" s="2" t="s">
        <v>1082</v>
      </c>
      <c r="C63" s="2" t="s">
        <v>1588</v>
      </c>
      <c r="D63" s="2">
        <v>7500</v>
      </c>
    </row>
    <row r="64" spans="1:4" x14ac:dyDescent="0.3">
      <c r="A64" s="2" t="s">
        <v>1646</v>
      </c>
      <c r="B64" s="2" t="s">
        <v>1085</v>
      </c>
      <c r="C64" s="2" t="s">
        <v>1588</v>
      </c>
      <c r="D64" s="2">
        <v>0</v>
      </c>
    </row>
    <row r="65" spans="1:4" x14ac:dyDescent="0.3">
      <c r="A65" s="2" t="s">
        <v>1647</v>
      </c>
      <c r="B65" s="2" t="s">
        <v>1087</v>
      </c>
      <c r="C65" s="2" t="s">
        <v>1588</v>
      </c>
      <c r="D65" s="2">
        <v>7500</v>
      </c>
    </row>
    <row r="66" spans="1:4" x14ac:dyDescent="0.3">
      <c r="A66" s="2" t="s">
        <v>1648</v>
      </c>
      <c r="B66" s="2" t="s">
        <v>1088</v>
      </c>
      <c r="C66" s="2" t="s">
        <v>1588</v>
      </c>
      <c r="D66" s="2">
        <v>15000</v>
      </c>
    </row>
    <row r="67" spans="1:4" x14ac:dyDescent="0.3">
      <c r="A67" s="2" t="s">
        <v>1649</v>
      </c>
      <c r="B67" s="2" t="s">
        <v>1587</v>
      </c>
      <c r="C67" s="2" t="s">
        <v>1588</v>
      </c>
      <c r="D67" s="2">
        <v>22500</v>
      </c>
    </row>
    <row r="68" spans="1:4" x14ac:dyDescent="0.3">
      <c r="A68" s="2" t="s">
        <v>1650</v>
      </c>
      <c r="B68" s="2" t="s">
        <v>1082</v>
      </c>
      <c r="C68" s="2" t="s">
        <v>1588</v>
      </c>
      <c r="D68" s="2">
        <v>30000</v>
      </c>
    </row>
    <row r="69" spans="1:4" x14ac:dyDescent="0.3">
      <c r="A69" s="2" t="s">
        <v>1651</v>
      </c>
      <c r="B69" s="2" t="s">
        <v>1085</v>
      </c>
      <c r="C69" s="2" t="s">
        <v>1588</v>
      </c>
      <c r="D69" s="2">
        <v>37500</v>
      </c>
    </row>
    <row r="70" spans="1:4" x14ac:dyDescent="0.3">
      <c r="A70" s="2" t="s">
        <v>1652</v>
      </c>
      <c r="B70" s="2" t="s">
        <v>1087</v>
      </c>
      <c r="C70" s="2" t="s">
        <v>1588</v>
      </c>
      <c r="D70" s="2">
        <v>45000</v>
      </c>
    </row>
    <row r="71" spans="1:4" x14ac:dyDescent="0.3">
      <c r="A71" s="2" t="s">
        <v>1653</v>
      </c>
      <c r="B71" s="2" t="s">
        <v>1088</v>
      </c>
      <c r="C71" s="2" t="s">
        <v>1588</v>
      </c>
      <c r="D71" s="2">
        <v>52500</v>
      </c>
    </row>
    <row r="72" spans="1:4" x14ac:dyDescent="0.3">
      <c r="A72" s="2" t="s">
        <v>1654</v>
      </c>
      <c r="B72" s="2" t="s">
        <v>1587</v>
      </c>
      <c r="C72" s="2" t="s">
        <v>1588</v>
      </c>
      <c r="D72" s="2">
        <v>60000</v>
      </c>
    </row>
    <row r="73" spans="1:4" x14ac:dyDescent="0.3">
      <c r="A73" s="2" t="s">
        <v>1655</v>
      </c>
      <c r="B73" s="2" t="s">
        <v>1082</v>
      </c>
      <c r="C73" s="2" t="s">
        <v>1588</v>
      </c>
      <c r="D73" s="2">
        <v>67500</v>
      </c>
    </row>
    <row r="74" spans="1:4" x14ac:dyDescent="0.3">
      <c r="A74" s="2" t="s">
        <v>1656</v>
      </c>
      <c r="B74" s="2" t="s">
        <v>1085</v>
      </c>
      <c r="C74" s="2" t="s">
        <v>1588</v>
      </c>
      <c r="D74" s="2">
        <v>75000</v>
      </c>
    </row>
    <row r="75" spans="1:4" x14ac:dyDescent="0.3">
      <c r="A75" s="2" t="s">
        <v>1657</v>
      </c>
      <c r="B75" s="2" t="s">
        <v>1087</v>
      </c>
      <c r="C75" s="2" t="s">
        <v>1588</v>
      </c>
      <c r="D75" s="2">
        <v>82500</v>
      </c>
    </row>
    <row r="76" spans="1:4" x14ac:dyDescent="0.3">
      <c r="A76" s="2" t="s">
        <v>1658</v>
      </c>
      <c r="B76" s="2" t="s">
        <v>1088</v>
      </c>
      <c r="C76" s="2" t="s">
        <v>1588</v>
      </c>
      <c r="D76" s="2">
        <v>90000</v>
      </c>
    </row>
    <row r="77" spans="1:4" x14ac:dyDescent="0.3">
      <c r="A77" s="2" t="s">
        <v>1659</v>
      </c>
      <c r="B77" s="2" t="s">
        <v>1587</v>
      </c>
      <c r="C77" s="2" t="s">
        <v>1588</v>
      </c>
      <c r="D77" s="2">
        <v>97500</v>
      </c>
    </row>
    <row r="78" spans="1:4" x14ac:dyDescent="0.3">
      <c r="A78" s="2" t="s">
        <v>1660</v>
      </c>
      <c r="B78" s="2" t="s">
        <v>1082</v>
      </c>
      <c r="C78" s="2" t="s">
        <v>1588</v>
      </c>
      <c r="D78" s="2">
        <v>105000</v>
      </c>
    </row>
    <row r="79" spans="1:4" x14ac:dyDescent="0.3">
      <c r="A79" s="2" t="s">
        <v>1661</v>
      </c>
      <c r="B79" s="2" t="s">
        <v>1085</v>
      </c>
      <c r="C79" s="2" t="s">
        <v>1588</v>
      </c>
      <c r="D79" s="2">
        <v>112500</v>
      </c>
    </row>
    <row r="80" spans="1:4" x14ac:dyDescent="0.3">
      <c r="A80" s="2" t="s">
        <v>1662</v>
      </c>
      <c r="B80" s="2" t="s">
        <v>1087</v>
      </c>
      <c r="C80" s="2" t="s">
        <v>1588</v>
      </c>
      <c r="D80" s="2">
        <v>120000</v>
      </c>
    </row>
    <row r="81" spans="1:4" x14ac:dyDescent="0.3">
      <c r="A81" s="2" t="s">
        <v>1663</v>
      </c>
      <c r="B81" s="2" t="s">
        <v>1088</v>
      </c>
      <c r="C81" s="2" t="s">
        <v>1588</v>
      </c>
      <c r="D81" s="2">
        <v>127500</v>
      </c>
    </row>
    <row r="82" spans="1:4" x14ac:dyDescent="0.3">
      <c r="A82" s="2" t="s">
        <v>1664</v>
      </c>
      <c r="B82" s="2" t="s">
        <v>1587</v>
      </c>
      <c r="C82" s="2" t="s">
        <v>1588</v>
      </c>
      <c r="D82" s="2">
        <v>135000</v>
      </c>
    </row>
    <row r="83" spans="1:4" x14ac:dyDescent="0.3">
      <c r="A83" s="2" t="s">
        <v>1665</v>
      </c>
      <c r="B83" s="2" t="s">
        <v>1082</v>
      </c>
      <c r="C83" s="2" t="s">
        <v>1588</v>
      </c>
      <c r="D83" s="2">
        <v>142500</v>
      </c>
    </row>
    <row r="84" spans="1:4" x14ac:dyDescent="0.3">
      <c r="A84" s="2" t="s">
        <v>1666</v>
      </c>
      <c r="B84" s="2" t="s">
        <v>1085</v>
      </c>
      <c r="C84" s="2" t="s">
        <v>1588</v>
      </c>
      <c r="D84" s="2">
        <v>150000</v>
      </c>
    </row>
    <row r="85" spans="1:4" x14ac:dyDescent="0.3">
      <c r="A85" s="2" t="s">
        <v>1667</v>
      </c>
      <c r="B85" s="2" t="s">
        <v>1087</v>
      </c>
      <c r="C85" s="2" t="s">
        <v>1588</v>
      </c>
      <c r="D85" s="2">
        <v>157500</v>
      </c>
    </row>
    <row r="86" spans="1:4" x14ac:dyDescent="0.3">
      <c r="A86" s="2" t="s">
        <v>1668</v>
      </c>
      <c r="B86" s="2" t="s">
        <v>1088</v>
      </c>
      <c r="C86" s="2" t="s">
        <v>1588</v>
      </c>
      <c r="D86" s="2">
        <v>165000</v>
      </c>
    </row>
    <row r="87" spans="1:4" x14ac:dyDescent="0.3">
      <c r="A87" s="2" t="s">
        <v>1669</v>
      </c>
      <c r="B87" s="2" t="s">
        <v>1587</v>
      </c>
      <c r="C87" s="2" t="s">
        <v>1588</v>
      </c>
      <c r="D87" s="2">
        <v>172500</v>
      </c>
    </row>
    <row r="88" spans="1:4" x14ac:dyDescent="0.3">
      <c r="A88" s="2" t="s">
        <v>1670</v>
      </c>
      <c r="B88" s="2" t="s">
        <v>1082</v>
      </c>
      <c r="C88" s="2" t="s">
        <v>1588</v>
      </c>
      <c r="D88" s="2">
        <v>180000</v>
      </c>
    </row>
    <row r="89" spans="1:4" x14ac:dyDescent="0.3">
      <c r="A89" s="2" t="s">
        <v>1671</v>
      </c>
      <c r="B89" s="2" t="s">
        <v>1085</v>
      </c>
      <c r="C89" s="2" t="s">
        <v>1588</v>
      </c>
      <c r="D89" s="2">
        <v>187500</v>
      </c>
    </row>
    <row r="90" spans="1:4" x14ac:dyDescent="0.3">
      <c r="A90" s="2" t="s">
        <v>1672</v>
      </c>
      <c r="B90" s="2" t="s">
        <v>1087</v>
      </c>
      <c r="C90" s="2" t="s">
        <v>1588</v>
      </c>
      <c r="D90" s="2">
        <v>195000</v>
      </c>
    </row>
    <row r="91" spans="1:4" x14ac:dyDescent="0.3">
      <c r="A91" s="2" t="s">
        <v>1673</v>
      </c>
      <c r="B91" s="2" t="s">
        <v>1088</v>
      </c>
      <c r="C91" s="2" t="s">
        <v>1588</v>
      </c>
      <c r="D91" s="2">
        <v>202500</v>
      </c>
    </row>
    <row r="92" spans="1:4" x14ac:dyDescent="0.3">
      <c r="A92" s="2" t="s">
        <v>1674</v>
      </c>
      <c r="B92" s="2" t="s">
        <v>1587</v>
      </c>
      <c r="C92" s="2" t="s">
        <v>1588</v>
      </c>
      <c r="D92" s="2">
        <v>210000</v>
      </c>
    </row>
    <row r="93" spans="1:4" x14ac:dyDescent="0.3">
      <c r="A93" s="2" t="s">
        <v>1675</v>
      </c>
      <c r="B93" s="2" t="s">
        <v>1082</v>
      </c>
      <c r="C93" s="2" t="s">
        <v>1588</v>
      </c>
      <c r="D93" s="2">
        <v>217500</v>
      </c>
    </row>
    <row r="94" spans="1:4" x14ac:dyDescent="0.3">
      <c r="A94" s="2" t="s">
        <v>1676</v>
      </c>
      <c r="B94" s="2" t="s">
        <v>1085</v>
      </c>
      <c r="C94" s="2" t="s">
        <v>1588</v>
      </c>
      <c r="D94" s="2">
        <v>225000</v>
      </c>
    </row>
    <row r="95" spans="1:4" x14ac:dyDescent="0.3">
      <c r="A95" s="2" t="s">
        <v>1677</v>
      </c>
      <c r="B95" s="2" t="s">
        <v>1087</v>
      </c>
      <c r="C95" s="2" t="s">
        <v>1588</v>
      </c>
      <c r="D95" s="2">
        <v>232500</v>
      </c>
    </row>
    <row r="96" spans="1:4" x14ac:dyDescent="0.3">
      <c r="A96" s="2" t="s">
        <v>1678</v>
      </c>
      <c r="B96" s="2" t="s">
        <v>1088</v>
      </c>
      <c r="C96" s="2" t="s">
        <v>1588</v>
      </c>
      <c r="D96" s="2">
        <v>240000</v>
      </c>
    </row>
    <row r="97" spans="1:4" x14ac:dyDescent="0.3">
      <c r="A97" s="2" t="s">
        <v>1679</v>
      </c>
      <c r="B97" s="2" t="s">
        <v>1587</v>
      </c>
      <c r="C97" s="2" t="s">
        <v>1588</v>
      </c>
      <c r="D97" s="2">
        <v>247500</v>
      </c>
    </row>
    <row r="98" spans="1:4" x14ac:dyDescent="0.3">
      <c r="A98" s="2" t="s">
        <v>1680</v>
      </c>
      <c r="B98" s="2" t="s">
        <v>1082</v>
      </c>
      <c r="C98" s="2" t="s">
        <v>1588</v>
      </c>
      <c r="D98" s="2">
        <v>255000</v>
      </c>
    </row>
    <row r="99" spans="1:4" x14ac:dyDescent="0.3">
      <c r="A99" s="2" t="s">
        <v>1681</v>
      </c>
      <c r="B99" s="2" t="s">
        <v>1085</v>
      </c>
      <c r="C99" s="2" t="s">
        <v>1588</v>
      </c>
      <c r="D99" s="2">
        <v>262500</v>
      </c>
    </row>
    <row r="100" spans="1:4" x14ac:dyDescent="0.3">
      <c r="A100" s="2" t="s">
        <v>1682</v>
      </c>
      <c r="B100" s="2" t="s">
        <v>1087</v>
      </c>
      <c r="C100" s="2" t="s">
        <v>1588</v>
      </c>
      <c r="D100" s="2">
        <v>270000</v>
      </c>
    </row>
    <row r="101" spans="1:4" x14ac:dyDescent="0.3">
      <c r="A101" s="2" t="s">
        <v>1683</v>
      </c>
      <c r="B101" s="2" t="s">
        <v>1088</v>
      </c>
      <c r="C101" s="2" t="s">
        <v>1588</v>
      </c>
      <c r="D101" s="2">
        <v>277500</v>
      </c>
    </row>
    <row r="102" spans="1:4" x14ac:dyDescent="0.3">
      <c r="A102" s="2" t="s">
        <v>1684</v>
      </c>
      <c r="B102" s="2" t="s">
        <v>1587</v>
      </c>
      <c r="C102" s="2" t="s">
        <v>1588</v>
      </c>
      <c r="D102" s="2">
        <v>285000</v>
      </c>
    </row>
    <row r="103" spans="1:4" x14ac:dyDescent="0.3">
      <c r="A103" s="2" t="s">
        <v>1685</v>
      </c>
      <c r="B103" s="2" t="s">
        <v>1082</v>
      </c>
      <c r="C103" s="2" t="s">
        <v>1588</v>
      </c>
      <c r="D103" s="2">
        <v>292500</v>
      </c>
    </row>
    <row r="104" spans="1:4" x14ac:dyDescent="0.3">
      <c r="A104" s="2" t="s">
        <v>1686</v>
      </c>
      <c r="B104" s="2" t="s">
        <v>1085</v>
      </c>
      <c r="C104" s="2" t="s">
        <v>1588</v>
      </c>
      <c r="D104" s="2">
        <v>300000</v>
      </c>
    </row>
    <row r="105" spans="1:4" x14ac:dyDescent="0.3">
      <c r="A105" s="2" t="s">
        <v>1687</v>
      </c>
      <c r="B105" s="2" t="s">
        <v>1087</v>
      </c>
      <c r="C105" s="2" t="s">
        <v>1588</v>
      </c>
      <c r="D105" s="2">
        <v>307500</v>
      </c>
    </row>
    <row r="106" spans="1:4" x14ac:dyDescent="0.3">
      <c r="A106" s="2" t="s">
        <v>1688</v>
      </c>
      <c r="B106" s="2" t="s">
        <v>1088</v>
      </c>
      <c r="C106" s="2" t="s">
        <v>1588</v>
      </c>
      <c r="D106" s="2">
        <v>315000</v>
      </c>
    </row>
    <row r="107" spans="1:4" x14ac:dyDescent="0.3">
      <c r="A107" s="2" t="s">
        <v>1689</v>
      </c>
      <c r="B107" s="2" t="s">
        <v>1587</v>
      </c>
      <c r="C107" s="2" t="s">
        <v>1588</v>
      </c>
      <c r="D107" s="2">
        <v>322500</v>
      </c>
    </row>
    <row r="108" spans="1:4" x14ac:dyDescent="0.3">
      <c r="A108" s="2" t="s">
        <v>1690</v>
      </c>
      <c r="B108" s="2" t="s">
        <v>1082</v>
      </c>
      <c r="C108" s="2" t="s">
        <v>1588</v>
      </c>
      <c r="D108" s="2">
        <v>330000</v>
      </c>
    </row>
    <row r="109" spans="1:4" x14ac:dyDescent="0.3">
      <c r="A109" s="2" t="s">
        <v>1691</v>
      </c>
      <c r="B109" s="2" t="s">
        <v>1085</v>
      </c>
      <c r="C109" s="2" t="s">
        <v>1588</v>
      </c>
      <c r="D109" s="2">
        <v>337500</v>
      </c>
    </row>
    <row r="110" spans="1:4" x14ac:dyDescent="0.3">
      <c r="A110" s="2" t="s">
        <v>1692</v>
      </c>
      <c r="B110" s="2" t="s">
        <v>1087</v>
      </c>
      <c r="C110" s="2" t="s">
        <v>1588</v>
      </c>
      <c r="D110" s="2">
        <v>345000</v>
      </c>
    </row>
    <row r="111" spans="1:4" x14ac:dyDescent="0.3">
      <c r="A111" s="2" t="s">
        <v>1693</v>
      </c>
      <c r="B111" s="2" t="s">
        <v>1088</v>
      </c>
      <c r="C111" s="2" t="s">
        <v>1588</v>
      </c>
      <c r="D111" s="2">
        <v>352500</v>
      </c>
    </row>
    <row r="112" spans="1:4" x14ac:dyDescent="0.3">
      <c r="A112" s="2" t="s">
        <v>1694</v>
      </c>
      <c r="B112" s="2" t="s">
        <v>1587</v>
      </c>
      <c r="C112" s="2" t="s">
        <v>1588</v>
      </c>
      <c r="D112" s="2">
        <v>360000</v>
      </c>
    </row>
    <row r="113" spans="1:4" x14ac:dyDescent="0.3">
      <c r="A113" s="2" t="s">
        <v>1695</v>
      </c>
      <c r="B113" s="2" t="s">
        <v>1082</v>
      </c>
      <c r="C113" s="2" t="s">
        <v>1588</v>
      </c>
      <c r="D113" s="2">
        <v>367500</v>
      </c>
    </row>
    <row r="114" spans="1:4" x14ac:dyDescent="0.3">
      <c r="A114" s="2" t="s">
        <v>1696</v>
      </c>
      <c r="B114" s="2" t="s">
        <v>1085</v>
      </c>
      <c r="C114" s="2" t="s">
        <v>1588</v>
      </c>
      <c r="D114" s="2">
        <v>375000</v>
      </c>
    </row>
    <row r="115" spans="1:4" x14ac:dyDescent="0.3">
      <c r="A115" s="2" t="s">
        <v>1697</v>
      </c>
      <c r="B115" s="2" t="s">
        <v>1087</v>
      </c>
      <c r="C115" s="2" t="s">
        <v>1588</v>
      </c>
      <c r="D115" s="2">
        <v>382500</v>
      </c>
    </row>
    <row r="116" spans="1:4" x14ac:dyDescent="0.3">
      <c r="A116" s="2" t="s">
        <v>1698</v>
      </c>
      <c r="B116" s="2" t="s">
        <v>1088</v>
      </c>
      <c r="C116" s="2" t="s">
        <v>1588</v>
      </c>
      <c r="D116" s="2">
        <v>390000</v>
      </c>
    </row>
    <row r="117" spans="1:4" x14ac:dyDescent="0.3">
      <c r="A117" s="2" t="s">
        <v>1699</v>
      </c>
      <c r="B117" s="2" t="s">
        <v>1587</v>
      </c>
      <c r="C117" s="2" t="s">
        <v>1588</v>
      </c>
      <c r="D117" s="2">
        <v>397500</v>
      </c>
    </row>
    <row r="118" spans="1:4" x14ac:dyDescent="0.3">
      <c r="A118" s="2" t="s">
        <v>1700</v>
      </c>
      <c r="B118" s="2" t="s">
        <v>1082</v>
      </c>
      <c r="C118" s="2" t="s">
        <v>1588</v>
      </c>
      <c r="D118" s="2">
        <v>405000</v>
      </c>
    </row>
    <row r="119" spans="1:4" x14ac:dyDescent="0.3">
      <c r="A119" s="2" t="s">
        <v>1701</v>
      </c>
      <c r="B119" s="2" t="s">
        <v>1085</v>
      </c>
      <c r="C119" s="2" t="s">
        <v>1588</v>
      </c>
      <c r="D119" s="2">
        <v>412500</v>
      </c>
    </row>
    <row r="120" spans="1:4" x14ac:dyDescent="0.3">
      <c r="A120" s="2" t="s">
        <v>1702</v>
      </c>
      <c r="B120" s="2" t="s">
        <v>1087</v>
      </c>
      <c r="C120" s="2" t="s">
        <v>1588</v>
      </c>
      <c r="D120" s="2">
        <v>420000</v>
      </c>
    </row>
    <row r="121" spans="1:4" x14ac:dyDescent="0.3">
      <c r="A121" s="2" t="s">
        <v>1703</v>
      </c>
      <c r="B121" s="2" t="s">
        <v>1088</v>
      </c>
      <c r="C121" s="2" t="s">
        <v>1588</v>
      </c>
      <c r="D121" s="2">
        <v>427500</v>
      </c>
    </row>
    <row r="122" spans="1:4" x14ac:dyDescent="0.3">
      <c r="A122" s="2" t="s">
        <v>1704</v>
      </c>
      <c r="B122" s="2" t="s">
        <v>1587</v>
      </c>
      <c r="C122" s="2" t="s">
        <v>1588</v>
      </c>
      <c r="D122" s="2">
        <v>435000</v>
      </c>
    </row>
    <row r="123" spans="1:4" x14ac:dyDescent="0.3">
      <c r="A123" s="2" t="s">
        <v>1705</v>
      </c>
      <c r="B123" s="2" t="s">
        <v>1082</v>
      </c>
      <c r="C123" s="2" t="s">
        <v>1588</v>
      </c>
      <c r="D123" s="2">
        <v>442500</v>
      </c>
    </row>
    <row r="124" spans="1:4" x14ac:dyDescent="0.3">
      <c r="A124" s="2" t="s">
        <v>1706</v>
      </c>
      <c r="B124" s="2" t="s">
        <v>1085</v>
      </c>
      <c r="C124" s="2" t="s">
        <v>1588</v>
      </c>
      <c r="D124" s="2">
        <v>450000</v>
      </c>
    </row>
    <row r="125" spans="1:4" x14ac:dyDescent="0.3">
      <c r="A125" s="2" t="s">
        <v>1707</v>
      </c>
      <c r="B125" s="2" t="s">
        <v>1087</v>
      </c>
      <c r="C125" s="2" t="s">
        <v>1588</v>
      </c>
      <c r="D125" s="2">
        <v>457500</v>
      </c>
    </row>
    <row r="126" spans="1:4" x14ac:dyDescent="0.3">
      <c r="A126" s="2" t="s">
        <v>1708</v>
      </c>
      <c r="B126" s="2" t="s">
        <v>1088</v>
      </c>
      <c r="C126" s="2" t="s">
        <v>1588</v>
      </c>
      <c r="D126" s="2">
        <v>465000</v>
      </c>
    </row>
    <row r="127" spans="1:4" x14ac:dyDescent="0.3">
      <c r="A127" s="2" t="s">
        <v>1709</v>
      </c>
      <c r="B127" s="2" t="s">
        <v>1587</v>
      </c>
      <c r="C127" s="2" t="s">
        <v>1588</v>
      </c>
      <c r="D127" s="2">
        <v>472500</v>
      </c>
    </row>
    <row r="128" spans="1:4" x14ac:dyDescent="0.3">
      <c r="A128" s="2" t="s">
        <v>1710</v>
      </c>
      <c r="B128" s="2" t="s">
        <v>1082</v>
      </c>
      <c r="C128" s="2" t="s">
        <v>1588</v>
      </c>
      <c r="D128" s="2">
        <v>480000</v>
      </c>
    </row>
    <row r="129" spans="1:4" x14ac:dyDescent="0.3">
      <c r="A129" s="2" t="s">
        <v>1711</v>
      </c>
      <c r="B129" s="2" t="s">
        <v>1085</v>
      </c>
      <c r="C129" s="2" t="s">
        <v>1588</v>
      </c>
      <c r="D129" s="2">
        <v>487500</v>
      </c>
    </row>
    <row r="130" spans="1:4" x14ac:dyDescent="0.3">
      <c r="A130" s="2" t="s">
        <v>1712</v>
      </c>
      <c r="B130" s="2" t="s">
        <v>1087</v>
      </c>
      <c r="C130" s="2" t="s">
        <v>1588</v>
      </c>
      <c r="D130" s="2">
        <v>495000</v>
      </c>
    </row>
    <row r="131" spans="1:4" x14ac:dyDescent="0.3">
      <c r="A131" s="2" t="s">
        <v>1713</v>
      </c>
      <c r="B131" s="2" t="s">
        <v>1088</v>
      </c>
      <c r="C131" s="2" t="s">
        <v>1588</v>
      </c>
      <c r="D131" s="2">
        <v>502500</v>
      </c>
    </row>
    <row r="132" spans="1:4" x14ac:dyDescent="0.3">
      <c r="A132" s="2" t="s">
        <v>1714</v>
      </c>
      <c r="B132" s="2" t="s">
        <v>1587</v>
      </c>
      <c r="C132" s="2" t="s">
        <v>1588</v>
      </c>
      <c r="D132" s="2">
        <v>510000</v>
      </c>
    </row>
    <row r="133" spans="1:4" x14ac:dyDescent="0.3">
      <c r="A133" s="2" t="s">
        <v>1715</v>
      </c>
      <c r="B133" s="2" t="s">
        <v>1082</v>
      </c>
      <c r="C133" s="2" t="s">
        <v>1588</v>
      </c>
      <c r="D133" s="2">
        <v>517500</v>
      </c>
    </row>
    <row r="134" spans="1:4" x14ac:dyDescent="0.3">
      <c r="A134" s="2" t="s">
        <v>1716</v>
      </c>
      <c r="B134" s="2" t="s">
        <v>1085</v>
      </c>
      <c r="C134" s="2" t="s">
        <v>1588</v>
      </c>
      <c r="D134" s="2">
        <v>525000</v>
      </c>
    </row>
    <row r="135" spans="1:4" x14ac:dyDescent="0.3">
      <c r="A135" s="2" t="s">
        <v>1717</v>
      </c>
      <c r="B135" s="2" t="s">
        <v>1087</v>
      </c>
      <c r="C135" s="2" t="s">
        <v>1588</v>
      </c>
      <c r="D135" s="2">
        <v>532500</v>
      </c>
    </row>
    <row r="136" spans="1:4" x14ac:dyDescent="0.3">
      <c r="A136" s="2" t="s">
        <v>1718</v>
      </c>
      <c r="B136" s="2" t="s">
        <v>1088</v>
      </c>
      <c r="C136" s="2" t="s">
        <v>1588</v>
      </c>
      <c r="D136" s="2">
        <v>540000</v>
      </c>
    </row>
    <row r="137" spans="1:4" x14ac:dyDescent="0.3">
      <c r="A137" s="2" t="s">
        <v>1719</v>
      </c>
      <c r="B137" s="2" t="s">
        <v>1587</v>
      </c>
      <c r="C137" s="2" t="s">
        <v>1588</v>
      </c>
      <c r="D137" s="2">
        <v>547500</v>
      </c>
    </row>
    <row r="138" spans="1:4" x14ac:dyDescent="0.3">
      <c r="A138" s="2" t="s">
        <v>1720</v>
      </c>
      <c r="B138" s="2" t="s">
        <v>1082</v>
      </c>
      <c r="C138" s="2" t="s">
        <v>1588</v>
      </c>
      <c r="D138" s="2">
        <v>555000</v>
      </c>
    </row>
    <row r="139" spans="1:4" x14ac:dyDescent="0.3">
      <c r="A139" s="2" t="s">
        <v>1721</v>
      </c>
      <c r="B139" s="2" t="s">
        <v>1085</v>
      </c>
      <c r="C139" s="2" t="s">
        <v>1588</v>
      </c>
      <c r="D139" s="2">
        <v>562500</v>
      </c>
    </row>
    <row r="140" spans="1:4" x14ac:dyDescent="0.3">
      <c r="A140" s="2" t="s">
        <v>1722</v>
      </c>
      <c r="B140" s="2" t="s">
        <v>1087</v>
      </c>
      <c r="C140" s="2" t="s">
        <v>1588</v>
      </c>
      <c r="D140" s="2">
        <v>570000</v>
      </c>
    </row>
    <row r="141" spans="1:4" x14ac:dyDescent="0.3">
      <c r="A141" s="2" t="s">
        <v>1723</v>
      </c>
      <c r="B141" s="2" t="s">
        <v>1088</v>
      </c>
      <c r="C141" s="2" t="s">
        <v>1588</v>
      </c>
      <c r="D141" s="2">
        <v>577500</v>
      </c>
    </row>
    <row r="142" spans="1:4" x14ac:dyDescent="0.3">
      <c r="A142" s="2" t="s">
        <v>1724</v>
      </c>
      <c r="B142" s="2" t="s">
        <v>1587</v>
      </c>
      <c r="C142" s="2" t="s">
        <v>1588</v>
      </c>
      <c r="D142" s="2">
        <v>585000</v>
      </c>
    </row>
    <row r="143" spans="1:4" x14ac:dyDescent="0.3">
      <c r="A143" s="2" t="s">
        <v>1725</v>
      </c>
      <c r="B143" s="2" t="s">
        <v>1082</v>
      </c>
      <c r="C143" s="2" t="s">
        <v>1588</v>
      </c>
      <c r="D143" s="2">
        <v>592500</v>
      </c>
    </row>
    <row r="144" spans="1:4" x14ac:dyDescent="0.3">
      <c r="A144" s="2" t="s">
        <v>1726</v>
      </c>
      <c r="B144" s="2" t="s">
        <v>1085</v>
      </c>
      <c r="C144" s="2" t="s">
        <v>1588</v>
      </c>
      <c r="D144" s="2">
        <v>600000</v>
      </c>
    </row>
    <row r="145" spans="1:4" x14ac:dyDescent="0.3">
      <c r="A145" s="2" t="s">
        <v>1727</v>
      </c>
      <c r="B145" s="2" t="s">
        <v>1087</v>
      </c>
      <c r="C145" s="2" t="s">
        <v>1588</v>
      </c>
      <c r="D145" s="2">
        <v>607500</v>
      </c>
    </row>
    <row r="146" spans="1:4" x14ac:dyDescent="0.3">
      <c r="A146" s="2" t="s">
        <v>1728</v>
      </c>
      <c r="B146" s="2" t="s">
        <v>1088</v>
      </c>
      <c r="C146" s="2" t="s">
        <v>1588</v>
      </c>
      <c r="D146" s="2">
        <v>615000</v>
      </c>
    </row>
    <row r="147" spans="1:4" x14ac:dyDescent="0.3">
      <c r="A147" s="2" t="s">
        <v>1729</v>
      </c>
      <c r="B147" s="2" t="s">
        <v>1587</v>
      </c>
      <c r="C147" s="2" t="s">
        <v>1588</v>
      </c>
      <c r="D147" s="2">
        <v>622500</v>
      </c>
    </row>
    <row r="148" spans="1:4" x14ac:dyDescent="0.3">
      <c r="A148" s="2" t="s">
        <v>1730</v>
      </c>
      <c r="B148" s="2" t="s">
        <v>1082</v>
      </c>
      <c r="C148" s="2" t="s">
        <v>1588</v>
      </c>
      <c r="D148" s="2">
        <v>630000</v>
      </c>
    </row>
    <row r="149" spans="1:4" x14ac:dyDescent="0.3">
      <c r="A149" s="2" t="s">
        <v>1731</v>
      </c>
      <c r="B149" s="2" t="s">
        <v>1085</v>
      </c>
      <c r="C149" s="2" t="s">
        <v>1588</v>
      </c>
      <c r="D149" s="2">
        <v>637500</v>
      </c>
    </row>
    <row r="150" spans="1:4" x14ac:dyDescent="0.3">
      <c r="A150" s="2" t="s">
        <v>1732</v>
      </c>
      <c r="B150" s="2" t="s">
        <v>1087</v>
      </c>
      <c r="C150" s="2" t="s">
        <v>1588</v>
      </c>
      <c r="D150" s="2">
        <v>645000</v>
      </c>
    </row>
    <row r="151" spans="1:4" x14ac:dyDescent="0.3">
      <c r="A151" s="2" t="s">
        <v>1733</v>
      </c>
      <c r="B151" s="2" t="s">
        <v>1088</v>
      </c>
      <c r="C151" s="2" t="s">
        <v>1588</v>
      </c>
      <c r="D151" s="2">
        <v>652500</v>
      </c>
    </row>
    <row r="152" spans="1:4" x14ac:dyDescent="0.3">
      <c r="A152" s="2" t="s">
        <v>1734</v>
      </c>
      <c r="B152" s="2" t="s">
        <v>1587</v>
      </c>
      <c r="C152" s="2" t="s">
        <v>1588</v>
      </c>
      <c r="D152" s="2">
        <v>660000</v>
      </c>
    </row>
    <row r="153" spans="1:4" x14ac:dyDescent="0.3">
      <c r="A153" s="2" t="s">
        <v>1735</v>
      </c>
      <c r="B153" s="2" t="s">
        <v>1082</v>
      </c>
      <c r="C153" s="2" t="s">
        <v>1588</v>
      </c>
      <c r="D153" s="2">
        <v>667500</v>
      </c>
    </row>
    <row r="154" spans="1:4" x14ac:dyDescent="0.3">
      <c r="A154" s="2" t="s">
        <v>1736</v>
      </c>
      <c r="B154" s="2" t="s">
        <v>1085</v>
      </c>
      <c r="C154" s="2" t="s">
        <v>1588</v>
      </c>
      <c r="D154" s="2">
        <v>675000</v>
      </c>
    </row>
    <row r="155" spans="1:4" x14ac:dyDescent="0.3">
      <c r="A155" s="2" t="s">
        <v>1737</v>
      </c>
      <c r="B155" s="2" t="s">
        <v>1087</v>
      </c>
      <c r="C155" s="2" t="s">
        <v>1588</v>
      </c>
      <c r="D155" s="2">
        <v>682500</v>
      </c>
    </row>
    <row r="156" spans="1:4" x14ac:dyDescent="0.3">
      <c r="A156" s="2" t="s">
        <v>1738</v>
      </c>
      <c r="B156" s="2" t="s">
        <v>1088</v>
      </c>
      <c r="C156" s="2" t="s">
        <v>1588</v>
      </c>
      <c r="D156" s="2">
        <v>690000</v>
      </c>
    </row>
    <row r="157" spans="1:4" x14ac:dyDescent="0.3">
      <c r="A157" s="2" t="s">
        <v>1739</v>
      </c>
      <c r="B157" s="2" t="s">
        <v>1587</v>
      </c>
      <c r="C157" s="2" t="s">
        <v>1588</v>
      </c>
      <c r="D157" s="2">
        <v>697500</v>
      </c>
    </row>
    <row r="158" spans="1:4" x14ac:dyDescent="0.3">
      <c r="A158" s="2" t="s">
        <v>1740</v>
      </c>
      <c r="B158" s="2" t="s">
        <v>1082</v>
      </c>
      <c r="C158" s="2" t="s">
        <v>1588</v>
      </c>
      <c r="D158" s="2">
        <v>705000</v>
      </c>
    </row>
    <row r="159" spans="1:4" x14ac:dyDescent="0.3">
      <c r="A159" s="2" t="s">
        <v>1741</v>
      </c>
      <c r="B159" s="2" t="s">
        <v>1085</v>
      </c>
      <c r="C159" s="2" t="s">
        <v>1588</v>
      </c>
      <c r="D159" s="2">
        <v>712500</v>
      </c>
    </row>
    <row r="160" spans="1:4" x14ac:dyDescent="0.3">
      <c r="A160" s="2" t="s">
        <v>1742</v>
      </c>
      <c r="B160" s="2" t="s">
        <v>1087</v>
      </c>
      <c r="C160" s="2" t="s">
        <v>1588</v>
      </c>
      <c r="D160" s="2">
        <v>720000</v>
      </c>
    </row>
    <row r="161" spans="1:4" x14ac:dyDescent="0.3">
      <c r="A161" s="2" t="s">
        <v>1743</v>
      </c>
      <c r="B161" s="2" t="s">
        <v>1088</v>
      </c>
      <c r="C161" s="2" t="s">
        <v>1588</v>
      </c>
      <c r="D161" s="2">
        <v>727500</v>
      </c>
    </row>
    <row r="162" spans="1:4" x14ac:dyDescent="0.3">
      <c r="A162" s="2" t="s">
        <v>1744</v>
      </c>
      <c r="B162" s="2" t="s">
        <v>1587</v>
      </c>
      <c r="C162" s="2" t="s">
        <v>1588</v>
      </c>
      <c r="D162" s="2">
        <v>735000</v>
      </c>
    </row>
    <row r="163" spans="1:4" x14ac:dyDescent="0.3">
      <c r="A163" s="2" t="s">
        <v>1745</v>
      </c>
      <c r="B163" s="2" t="s">
        <v>1082</v>
      </c>
      <c r="C163" s="2" t="s">
        <v>1588</v>
      </c>
      <c r="D163" s="2">
        <v>742500</v>
      </c>
    </row>
    <row r="164" spans="1:4" x14ac:dyDescent="0.3">
      <c r="A164" s="2" t="s">
        <v>1746</v>
      </c>
      <c r="B164" s="2" t="s">
        <v>1085</v>
      </c>
      <c r="C164" s="2" t="s">
        <v>1588</v>
      </c>
      <c r="D164" s="2">
        <v>750000</v>
      </c>
    </row>
    <row r="165" spans="1:4" x14ac:dyDescent="0.3">
      <c r="A165" s="2" t="s">
        <v>1747</v>
      </c>
      <c r="B165" s="2" t="s">
        <v>1087</v>
      </c>
      <c r="C165" s="2" t="s">
        <v>1588</v>
      </c>
      <c r="D165" s="2">
        <v>757500</v>
      </c>
    </row>
    <row r="166" spans="1:4" x14ac:dyDescent="0.3">
      <c r="A166" s="2" t="s">
        <v>1748</v>
      </c>
      <c r="B166" s="2" t="s">
        <v>1088</v>
      </c>
      <c r="C166" s="2" t="s">
        <v>1588</v>
      </c>
      <c r="D166" s="2">
        <v>765000</v>
      </c>
    </row>
    <row r="167" spans="1:4" x14ac:dyDescent="0.3">
      <c r="A167" s="2" t="s">
        <v>1749</v>
      </c>
      <c r="B167" s="2" t="s">
        <v>1587</v>
      </c>
      <c r="C167" s="2" t="s">
        <v>1588</v>
      </c>
      <c r="D167" s="2">
        <v>772500</v>
      </c>
    </row>
    <row r="168" spans="1:4" x14ac:dyDescent="0.3">
      <c r="A168" s="2" t="s">
        <v>1750</v>
      </c>
      <c r="B168" s="2" t="s">
        <v>1082</v>
      </c>
      <c r="C168" s="2" t="s">
        <v>1588</v>
      </c>
      <c r="D168" s="2">
        <v>780000</v>
      </c>
    </row>
    <row r="169" spans="1:4" x14ac:dyDescent="0.3">
      <c r="A169" s="2" t="s">
        <v>1751</v>
      </c>
      <c r="B169" s="2" t="s">
        <v>1085</v>
      </c>
      <c r="C169" s="2" t="s">
        <v>1588</v>
      </c>
      <c r="D169" s="2">
        <v>787500</v>
      </c>
    </row>
    <row r="170" spans="1:4" x14ac:dyDescent="0.3">
      <c r="A170" s="2" t="s">
        <v>1752</v>
      </c>
      <c r="B170" s="2" t="s">
        <v>1087</v>
      </c>
      <c r="C170" s="2" t="s">
        <v>1588</v>
      </c>
      <c r="D170" s="2">
        <v>795000</v>
      </c>
    </row>
    <row r="171" spans="1:4" x14ac:dyDescent="0.3">
      <c r="A171" s="2" t="s">
        <v>1753</v>
      </c>
      <c r="B171" s="2" t="s">
        <v>1088</v>
      </c>
      <c r="C171" s="2" t="s">
        <v>1588</v>
      </c>
      <c r="D171" s="2">
        <v>802500</v>
      </c>
    </row>
    <row r="172" spans="1:4" x14ac:dyDescent="0.3">
      <c r="A172" s="2" t="s">
        <v>1754</v>
      </c>
      <c r="B172" s="2" t="s">
        <v>1587</v>
      </c>
      <c r="C172" s="2" t="s">
        <v>1588</v>
      </c>
      <c r="D172" s="2">
        <v>810000</v>
      </c>
    </row>
    <row r="173" spans="1:4" x14ac:dyDescent="0.3">
      <c r="A173" s="2" t="s">
        <v>1755</v>
      </c>
      <c r="B173" s="2" t="s">
        <v>1082</v>
      </c>
      <c r="C173" s="2" t="s">
        <v>1588</v>
      </c>
      <c r="D173" s="2">
        <v>817500</v>
      </c>
    </row>
    <row r="174" spans="1:4" x14ac:dyDescent="0.3">
      <c r="A174" s="2" t="s">
        <v>1756</v>
      </c>
      <c r="B174" s="2" t="s">
        <v>1085</v>
      </c>
      <c r="C174" s="2" t="s">
        <v>1588</v>
      </c>
      <c r="D174" s="2">
        <v>825000</v>
      </c>
    </row>
    <row r="175" spans="1:4" x14ac:dyDescent="0.3">
      <c r="A175" s="2" t="s">
        <v>1757</v>
      </c>
      <c r="B175" s="2" t="s">
        <v>1087</v>
      </c>
      <c r="C175" s="2" t="s">
        <v>1588</v>
      </c>
      <c r="D175" s="2">
        <v>832500</v>
      </c>
    </row>
    <row r="176" spans="1:4" x14ac:dyDescent="0.3">
      <c r="A176" s="2" t="s">
        <v>1758</v>
      </c>
      <c r="B176" s="2" t="s">
        <v>1088</v>
      </c>
      <c r="C176" s="2" t="s">
        <v>1588</v>
      </c>
      <c r="D176" s="2">
        <v>840000</v>
      </c>
    </row>
    <row r="177" spans="1:4" x14ac:dyDescent="0.3">
      <c r="A177" s="2" t="s">
        <v>1759</v>
      </c>
      <c r="B177" s="2" t="s">
        <v>1587</v>
      </c>
      <c r="C177" s="2" t="s">
        <v>1588</v>
      </c>
      <c r="D177" s="2">
        <v>847500</v>
      </c>
    </row>
    <row r="178" spans="1:4" x14ac:dyDescent="0.3">
      <c r="A178" s="2" t="s">
        <v>1760</v>
      </c>
      <c r="B178" s="2" t="s">
        <v>1082</v>
      </c>
      <c r="C178" s="2" t="s">
        <v>1588</v>
      </c>
      <c r="D178" s="2">
        <v>855000</v>
      </c>
    </row>
    <row r="179" spans="1:4" x14ac:dyDescent="0.3">
      <c r="A179" s="2" t="s">
        <v>1761</v>
      </c>
      <c r="B179" s="2" t="s">
        <v>1085</v>
      </c>
      <c r="C179" s="2" t="s">
        <v>1588</v>
      </c>
      <c r="D179" s="2">
        <v>862500</v>
      </c>
    </row>
    <row r="180" spans="1:4" x14ac:dyDescent="0.3">
      <c r="A180" s="2" t="s">
        <v>1762</v>
      </c>
      <c r="B180" s="2" t="s">
        <v>1087</v>
      </c>
      <c r="C180" s="2" t="s">
        <v>1588</v>
      </c>
      <c r="D180" s="2">
        <v>870000</v>
      </c>
    </row>
    <row r="181" spans="1:4" x14ac:dyDescent="0.3">
      <c r="A181" s="2" t="s">
        <v>1763</v>
      </c>
      <c r="B181" s="2" t="s">
        <v>1088</v>
      </c>
      <c r="C181" s="2" t="s">
        <v>1588</v>
      </c>
      <c r="D181" s="2">
        <v>877500</v>
      </c>
    </row>
    <row r="182" spans="1:4" x14ac:dyDescent="0.3">
      <c r="A182" s="2" t="s">
        <v>1764</v>
      </c>
      <c r="B182" s="2" t="s">
        <v>1587</v>
      </c>
      <c r="C182" s="2" t="s">
        <v>1588</v>
      </c>
      <c r="D182" s="2">
        <v>885000</v>
      </c>
    </row>
    <row r="183" spans="1:4" x14ac:dyDescent="0.3">
      <c r="A183" s="2" t="s">
        <v>1765</v>
      </c>
      <c r="B183" s="2" t="s">
        <v>1082</v>
      </c>
      <c r="C183" s="2" t="s">
        <v>1588</v>
      </c>
      <c r="D183" s="2">
        <v>892500</v>
      </c>
    </row>
    <row r="184" spans="1:4" x14ac:dyDescent="0.3">
      <c r="A184" s="2" t="s">
        <v>1766</v>
      </c>
      <c r="B184" s="2" t="s">
        <v>1085</v>
      </c>
      <c r="C184" s="2" t="s">
        <v>1588</v>
      </c>
      <c r="D184" s="2">
        <v>900000</v>
      </c>
    </row>
    <row r="185" spans="1:4" x14ac:dyDescent="0.3">
      <c r="A185" s="2" t="s">
        <v>1767</v>
      </c>
      <c r="B185" s="2" t="s">
        <v>1087</v>
      </c>
      <c r="C185" s="2" t="s">
        <v>1588</v>
      </c>
      <c r="D185" s="2">
        <v>907500</v>
      </c>
    </row>
    <row r="186" spans="1:4" x14ac:dyDescent="0.3">
      <c r="A186" s="2" t="s">
        <v>1768</v>
      </c>
      <c r="B186" s="2" t="s">
        <v>1088</v>
      </c>
      <c r="C186" s="2" t="s">
        <v>1588</v>
      </c>
      <c r="D186" s="2">
        <v>915000</v>
      </c>
    </row>
    <row r="187" spans="1:4" x14ac:dyDescent="0.3">
      <c r="A187" s="2" t="s">
        <v>1769</v>
      </c>
      <c r="B187" s="2" t="s">
        <v>1587</v>
      </c>
      <c r="C187" s="2" t="s">
        <v>1588</v>
      </c>
      <c r="D187" s="2">
        <v>922500</v>
      </c>
    </row>
    <row r="188" spans="1:4" x14ac:dyDescent="0.3">
      <c r="A188" s="2" t="s">
        <v>1770</v>
      </c>
      <c r="B188" s="2" t="s">
        <v>1082</v>
      </c>
      <c r="C188" s="2" t="s">
        <v>1588</v>
      </c>
      <c r="D188" s="2">
        <v>930000</v>
      </c>
    </row>
    <row r="189" spans="1:4" x14ac:dyDescent="0.3">
      <c r="A189" s="2" t="s">
        <v>1771</v>
      </c>
      <c r="B189" s="2" t="s">
        <v>1085</v>
      </c>
      <c r="C189" s="2" t="s">
        <v>1588</v>
      </c>
      <c r="D189" s="2">
        <v>937500</v>
      </c>
    </row>
    <row r="190" spans="1:4" x14ac:dyDescent="0.3">
      <c r="A190" s="2" t="s">
        <v>1772</v>
      </c>
      <c r="B190" s="2" t="s">
        <v>1087</v>
      </c>
      <c r="C190" s="2" t="s">
        <v>1588</v>
      </c>
      <c r="D190" s="2">
        <v>945000</v>
      </c>
    </row>
    <row r="191" spans="1:4" x14ac:dyDescent="0.3">
      <c r="A191" s="2" t="s">
        <v>1773</v>
      </c>
      <c r="B191" s="2" t="s">
        <v>1088</v>
      </c>
      <c r="C191" s="2" t="s">
        <v>1588</v>
      </c>
      <c r="D191" s="2">
        <v>952500</v>
      </c>
    </row>
    <row r="192" spans="1:4" x14ac:dyDescent="0.3">
      <c r="A192" s="2" t="s">
        <v>1774</v>
      </c>
      <c r="B192" s="2" t="s">
        <v>1587</v>
      </c>
      <c r="C192" s="2" t="s">
        <v>1588</v>
      </c>
      <c r="D192" s="2">
        <v>960000</v>
      </c>
    </row>
    <row r="193" spans="1:4" x14ac:dyDescent="0.3">
      <c r="A193" s="2" t="s">
        <v>1775</v>
      </c>
      <c r="B193" s="2" t="s">
        <v>1082</v>
      </c>
      <c r="C193" s="2" t="s">
        <v>1588</v>
      </c>
      <c r="D193" s="2">
        <v>967500</v>
      </c>
    </row>
    <row r="194" spans="1:4" x14ac:dyDescent="0.3">
      <c r="A194" s="2" t="s">
        <v>1776</v>
      </c>
      <c r="B194" s="2" t="s">
        <v>1085</v>
      </c>
      <c r="C194" s="2" t="s">
        <v>1588</v>
      </c>
      <c r="D194" s="2">
        <v>975000</v>
      </c>
    </row>
    <row r="195" spans="1:4" x14ac:dyDescent="0.3">
      <c r="A195" s="2" t="s">
        <v>1777</v>
      </c>
      <c r="B195" s="2" t="s">
        <v>1087</v>
      </c>
      <c r="C195" s="2" t="s">
        <v>1588</v>
      </c>
      <c r="D195" s="2">
        <v>982500</v>
      </c>
    </row>
    <row r="196" spans="1:4" x14ac:dyDescent="0.3">
      <c r="A196" s="2" t="s">
        <v>1778</v>
      </c>
      <c r="B196" s="2" t="s">
        <v>1088</v>
      </c>
      <c r="C196" s="2" t="s">
        <v>1588</v>
      </c>
      <c r="D196" s="2">
        <v>990000</v>
      </c>
    </row>
    <row r="197" spans="1:4" x14ac:dyDescent="0.3">
      <c r="A197" s="2" t="s">
        <v>1779</v>
      </c>
      <c r="B197" s="2" t="s">
        <v>1587</v>
      </c>
      <c r="C197" s="2" t="s">
        <v>1588</v>
      </c>
      <c r="D197" s="2">
        <v>997500</v>
      </c>
    </row>
    <row r="198" spans="1:4" x14ac:dyDescent="0.3">
      <c r="A198" s="2" t="s">
        <v>1780</v>
      </c>
      <c r="B198" s="2" t="s">
        <v>1082</v>
      </c>
      <c r="C198" s="2" t="s">
        <v>1588</v>
      </c>
      <c r="D198" s="2">
        <v>1005000</v>
      </c>
    </row>
    <row r="199" spans="1:4" x14ac:dyDescent="0.3">
      <c r="A199" s="2" t="s">
        <v>1781</v>
      </c>
      <c r="B199" s="2" t="s">
        <v>1085</v>
      </c>
      <c r="C199" s="2" t="s">
        <v>1588</v>
      </c>
      <c r="D199" s="2">
        <v>1012500</v>
      </c>
    </row>
    <row r="200" spans="1:4" x14ac:dyDescent="0.3">
      <c r="A200" s="2" t="s">
        <v>1782</v>
      </c>
      <c r="B200" s="2" t="s">
        <v>1087</v>
      </c>
      <c r="C200" s="2" t="s">
        <v>1588</v>
      </c>
      <c r="D200" s="2">
        <v>1020000</v>
      </c>
    </row>
    <row r="201" spans="1:4" x14ac:dyDescent="0.3">
      <c r="A201" s="2" t="s">
        <v>1783</v>
      </c>
      <c r="B201" s="2" t="s">
        <v>1088</v>
      </c>
      <c r="C201" s="2" t="s">
        <v>1588</v>
      </c>
      <c r="D201" s="2">
        <v>1027500</v>
      </c>
    </row>
    <row r="202" spans="1:4" x14ac:dyDescent="0.3">
      <c r="A202" s="2" t="s">
        <v>1784</v>
      </c>
      <c r="B202" s="2" t="s">
        <v>1587</v>
      </c>
      <c r="C202" s="2" t="s">
        <v>1588</v>
      </c>
      <c r="D202" s="2">
        <v>1035000</v>
      </c>
    </row>
    <row r="203" spans="1:4" x14ac:dyDescent="0.3">
      <c r="A203" s="2" t="s">
        <v>1785</v>
      </c>
      <c r="B203" s="2" t="s">
        <v>1082</v>
      </c>
      <c r="C203" s="2" t="s">
        <v>1588</v>
      </c>
      <c r="D203" s="2">
        <v>1042500</v>
      </c>
    </row>
    <row r="204" spans="1:4" x14ac:dyDescent="0.3">
      <c r="A204" s="2" t="s">
        <v>1786</v>
      </c>
      <c r="B204" s="2" t="s">
        <v>1085</v>
      </c>
      <c r="C204" s="2" t="s">
        <v>1588</v>
      </c>
      <c r="D204" s="2">
        <v>1050000</v>
      </c>
    </row>
    <row r="205" spans="1:4" x14ac:dyDescent="0.3">
      <c r="A205" s="2" t="s">
        <v>1787</v>
      </c>
      <c r="B205" s="2" t="s">
        <v>1087</v>
      </c>
      <c r="C205" s="2" t="s">
        <v>1588</v>
      </c>
      <c r="D205" s="2">
        <v>1057500</v>
      </c>
    </row>
    <row r="206" spans="1:4" x14ac:dyDescent="0.3">
      <c r="A206" s="2" t="s">
        <v>1788</v>
      </c>
      <c r="B206" s="2" t="s">
        <v>1088</v>
      </c>
      <c r="C206" s="2" t="s">
        <v>1588</v>
      </c>
      <c r="D206" s="2">
        <v>1065000</v>
      </c>
    </row>
    <row r="207" spans="1:4" x14ac:dyDescent="0.3">
      <c r="A207" s="2" t="s">
        <v>1789</v>
      </c>
      <c r="B207" s="2" t="s">
        <v>1587</v>
      </c>
      <c r="C207" s="2" t="s">
        <v>1588</v>
      </c>
      <c r="D207" s="2">
        <v>1072500</v>
      </c>
    </row>
    <row r="208" spans="1:4" x14ac:dyDescent="0.3">
      <c r="A208" s="2" t="s">
        <v>1790</v>
      </c>
      <c r="B208" s="2" t="s">
        <v>1082</v>
      </c>
      <c r="C208" s="2" t="s">
        <v>1588</v>
      </c>
      <c r="D208" s="2">
        <v>1080000</v>
      </c>
    </row>
    <row r="209" spans="1:4" x14ac:dyDescent="0.3">
      <c r="A209" s="2" t="s">
        <v>1791</v>
      </c>
      <c r="B209" s="2" t="s">
        <v>1085</v>
      </c>
      <c r="C209" s="2" t="s">
        <v>1588</v>
      </c>
      <c r="D209" s="2">
        <v>1087500</v>
      </c>
    </row>
    <row r="210" spans="1:4" x14ac:dyDescent="0.3">
      <c r="A210" s="2" t="s">
        <v>1792</v>
      </c>
      <c r="B210" s="2" t="s">
        <v>1087</v>
      </c>
      <c r="C210" s="2" t="s">
        <v>1588</v>
      </c>
      <c r="D210" s="2">
        <v>1095000</v>
      </c>
    </row>
    <row r="211" spans="1:4" x14ac:dyDescent="0.3">
      <c r="A211" s="2" t="s">
        <v>1793</v>
      </c>
      <c r="B211" s="2" t="s">
        <v>1088</v>
      </c>
      <c r="C211" s="2" t="s">
        <v>1588</v>
      </c>
      <c r="D211" s="2">
        <v>1102500</v>
      </c>
    </row>
    <row r="212" spans="1:4" x14ac:dyDescent="0.3">
      <c r="A212" s="2" t="s">
        <v>1794</v>
      </c>
      <c r="B212" s="2" t="s">
        <v>1587</v>
      </c>
      <c r="C212" s="2" t="s">
        <v>1588</v>
      </c>
      <c r="D212" s="2">
        <v>1110000</v>
      </c>
    </row>
    <row r="213" spans="1:4" x14ac:dyDescent="0.3">
      <c r="A213" s="2" t="s">
        <v>1795</v>
      </c>
      <c r="B213" s="2" t="s">
        <v>1082</v>
      </c>
      <c r="C213" s="2" t="s">
        <v>1588</v>
      </c>
      <c r="D213" s="2">
        <v>1117500</v>
      </c>
    </row>
    <row r="214" spans="1:4" x14ac:dyDescent="0.3">
      <c r="A214" s="2" t="s">
        <v>1796</v>
      </c>
      <c r="B214" s="2" t="s">
        <v>1085</v>
      </c>
      <c r="C214" s="2" t="s">
        <v>1588</v>
      </c>
      <c r="D214" s="2">
        <v>1125000</v>
      </c>
    </row>
    <row r="215" spans="1:4" x14ac:dyDescent="0.3">
      <c r="A215" s="2" t="s">
        <v>1797</v>
      </c>
      <c r="B215" s="2" t="s">
        <v>1087</v>
      </c>
      <c r="C215" s="2" t="s">
        <v>1588</v>
      </c>
      <c r="D215" s="2">
        <v>1132500</v>
      </c>
    </row>
    <row r="216" spans="1:4" x14ac:dyDescent="0.3">
      <c r="A216" s="2" t="s">
        <v>1798</v>
      </c>
      <c r="B216" s="2" t="s">
        <v>1088</v>
      </c>
      <c r="C216" s="2" t="s">
        <v>1588</v>
      </c>
      <c r="D216" s="2">
        <v>1140000</v>
      </c>
    </row>
    <row r="217" spans="1:4" x14ac:dyDescent="0.3">
      <c r="A217" s="2" t="s">
        <v>1799</v>
      </c>
      <c r="B217" s="2" t="s">
        <v>1587</v>
      </c>
      <c r="C217" s="2" t="s">
        <v>1588</v>
      </c>
      <c r="D217" s="2">
        <v>1147500</v>
      </c>
    </row>
    <row r="218" spans="1:4" x14ac:dyDescent="0.3">
      <c r="A218" s="2" t="s">
        <v>1800</v>
      </c>
      <c r="B218" s="2" t="s">
        <v>1082</v>
      </c>
      <c r="C218" s="2" t="s">
        <v>1588</v>
      </c>
      <c r="D218" s="2">
        <v>1155000</v>
      </c>
    </row>
    <row r="219" spans="1:4" x14ac:dyDescent="0.3">
      <c r="A219" s="2" t="s">
        <v>1801</v>
      </c>
      <c r="B219" s="2" t="s">
        <v>1085</v>
      </c>
      <c r="C219" s="2" t="s">
        <v>1588</v>
      </c>
      <c r="D219" s="2">
        <v>1162500</v>
      </c>
    </row>
    <row r="220" spans="1:4" x14ac:dyDescent="0.3">
      <c r="A220" s="2" t="s">
        <v>1802</v>
      </c>
      <c r="B220" s="2" t="s">
        <v>1087</v>
      </c>
      <c r="C220" s="2" t="s">
        <v>1588</v>
      </c>
      <c r="D220" s="2">
        <v>1170000</v>
      </c>
    </row>
    <row r="221" spans="1:4" x14ac:dyDescent="0.3">
      <c r="A221" s="2" t="s">
        <v>1803</v>
      </c>
      <c r="B221" s="2" t="s">
        <v>1088</v>
      </c>
      <c r="C221" s="2" t="s">
        <v>1588</v>
      </c>
      <c r="D221" s="2">
        <v>1177500</v>
      </c>
    </row>
    <row r="222" spans="1:4" x14ac:dyDescent="0.3">
      <c r="A222" s="2" t="s">
        <v>1804</v>
      </c>
      <c r="B222" s="2" t="s">
        <v>1587</v>
      </c>
      <c r="C222" s="2" t="s">
        <v>1588</v>
      </c>
      <c r="D222" s="2">
        <v>1185000</v>
      </c>
    </row>
    <row r="223" spans="1:4" x14ac:dyDescent="0.3">
      <c r="A223" s="2" t="s">
        <v>1805</v>
      </c>
      <c r="B223" s="2" t="s">
        <v>1082</v>
      </c>
      <c r="C223" s="2" t="s">
        <v>1588</v>
      </c>
      <c r="D223" s="2">
        <v>1192500</v>
      </c>
    </row>
    <row r="224" spans="1:4" x14ac:dyDescent="0.3">
      <c r="A224" s="2" t="s">
        <v>1806</v>
      </c>
      <c r="B224" s="2" t="s">
        <v>1085</v>
      </c>
      <c r="C224" s="2" t="s">
        <v>1588</v>
      </c>
      <c r="D224" s="2">
        <v>1200000</v>
      </c>
    </row>
    <row r="225" spans="1:4" x14ac:dyDescent="0.3">
      <c r="A225" s="2" t="s">
        <v>1807</v>
      </c>
      <c r="B225" s="2" t="s">
        <v>1087</v>
      </c>
      <c r="C225" s="2" t="s">
        <v>1588</v>
      </c>
      <c r="D225" s="2">
        <v>1207500</v>
      </c>
    </row>
    <row r="226" spans="1:4" x14ac:dyDescent="0.3">
      <c r="A226" s="2" t="s">
        <v>1808</v>
      </c>
      <c r="B226" s="2" t="s">
        <v>1088</v>
      </c>
      <c r="C226" s="2" t="s">
        <v>1588</v>
      </c>
      <c r="D226" s="2">
        <v>1215000</v>
      </c>
    </row>
    <row r="227" spans="1:4" x14ac:dyDescent="0.3">
      <c r="A227" s="2" t="s">
        <v>1809</v>
      </c>
      <c r="B227" s="2" t="s">
        <v>1587</v>
      </c>
      <c r="C227" s="2" t="s">
        <v>1588</v>
      </c>
      <c r="D227" s="2">
        <v>1222500</v>
      </c>
    </row>
    <row r="228" spans="1:4" x14ac:dyDescent="0.3">
      <c r="A228" s="2" t="s">
        <v>1810</v>
      </c>
      <c r="B228" s="2" t="s">
        <v>1082</v>
      </c>
      <c r="C228" s="2" t="s">
        <v>1588</v>
      </c>
      <c r="D228" s="2">
        <v>1230000</v>
      </c>
    </row>
    <row r="229" spans="1:4" x14ac:dyDescent="0.3">
      <c r="A229" s="2" t="s">
        <v>1811</v>
      </c>
      <c r="B229" s="2" t="s">
        <v>1085</v>
      </c>
      <c r="C229" s="2" t="s">
        <v>1588</v>
      </c>
      <c r="D229" s="2">
        <v>1237500</v>
      </c>
    </row>
    <row r="230" spans="1:4" x14ac:dyDescent="0.3">
      <c r="A230" s="2" t="s">
        <v>1812</v>
      </c>
      <c r="B230" s="2" t="s">
        <v>1087</v>
      </c>
      <c r="C230" s="2" t="s">
        <v>1588</v>
      </c>
      <c r="D230" s="2">
        <v>1245000</v>
      </c>
    </row>
    <row r="231" spans="1:4" x14ac:dyDescent="0.3">
      <c r="A231" s="2" t="s">
        <v>1813</v>
      </c>
      <c r="B231" s="2" t="s">
        <v>1088</v>
      </c>
      <c r="C231" s="2" t="s">
        <v>1588</v>
      </c>
      <c r="D231" s="2">
        <v>1252500</v>
      </c>
    </row>
    <row r="232" spans="1:4" x14ac:dyDescent="0.3">
      <c r="A232" s="2" t="s">
        <v>1814</v>
      </c>
      <c r="B232" s="2" t="s">
        <v>1587</v>
      </c>
      <c r="C232" s="2" t="s">
        <v>1588</v>
      </c>
      <c r="D232" s="2">
        <v>1260000</v>
      </c>
    </row>
    <row r="233" spans="1:4" x14ac:dyDescent="0.3">
      <c r="A233" s="2" t="s">
        <v>1815</v>
      </c>
      <c r="B233" s="2" t="s">
        <v>1082</v>
      </c>
      <c r="C233" s="2" t="s">
        <v>1588</v>
      </c>
      <c r="D233" s="2">
        <v>1267500</v>
      </c>
    </row>
    <row r="234" spans="1:4" x14ac:dyDescent="0.3">
      <c r="A234" s="2" t="s">
        <v>1816</v>
      </c>
      <c r="B234" s="2" t="s">
        <v>1085</v>
      </c>
      <c r="C234" s="2" t="s">
        <v>1588</v>
      </c>
      <c r="D234" s="2">
        <v>1275000</v>
      </c>
    </row>
    <row r="235" spans="1:4" x14ac:dyDescent="0.3">
      <c r="A235" s="2" t="s">
        <v>1817</v>
      </c>
      <c r="B235" s="2" t="s">
        <v>1087</v>
      </c>
      <c r="C235" s="2" t="s">
        <v>1588</v>
      </c>
      <c r="D235" s="2">
        <v>1282500</v>
      </c>
    </row>
    <row r="236" spans="1:4" x14ac:dyDescent="0.3">
      <c r="A236" s="2" t="s">
        <v>1818</v>
      </c>
      <c r="B236" s="2" t="s">
        <v>1088</v>
      </c>
      <c r="C236" s="2" t="s">
        <v>1588</v>
      </c>
      <c r="D236" s="2">
        <v>1290000</v>
      </c>
    </row>
    <row r="237" spans="1:4" x14ac:dyDescent="0.3">
      <c r="A237" s="2" t="s">
        <v>1819</v>
      </c>
      <c r="B237" s="2" t="s">
        <v>1587</v>
      </c>
      <c r="C237" s="2" t="s">
        <v>1588</v>
      </c>
      <c r="D237" s="2">
        <v>1297500</v>
      </c>
    </row>
    <row r="238" spans="1:4" x14ac:dyDescent="0.3">
      <c r="A238" s="2" t="s">
        <v>1820</v>
      </c>
      <c r="B238" s="2" t="s">
        <v>1082</v>
      </c>
      <c r="C238" s="2" t="s">
        <v>1588</v>
      </c>
      <c r="D238" s="2">
        <v>1305000</v>
      </c>
    </row>
    <row r="239" spans="1:4" x14ac:dyDescent="0.3">
      <c r="A239" s="2" t="s">
        <v>1821</v>
      </c>
      <c r="B239" s="2" t="s">
        <v>1085</v>
      </c>
      <c r="C239" s="2" t="s">
        <v>1588</v>
      </c>
      <c r="D239" s="2">
        <v>1312500</v>
      </c>
    </row>
    <row r="240" spans="1:4" x14ac:dyDescent="0.3">
      <c r="A240" s="2" t="s">
        <v>1822</v>
      </c>
      <c r="B240" s="2" t="s">
        <v>1087</v>
      </c>
      <c r="C240" s="2" t="s">
        <v>1588</v>
      </c>
      <c r="D240" s="2">
        <v>1320000</v>
      </c>
    </row>
    <row r="241" spans="1:4" x14ac:dyDescent="0.3">
      <c r="A241" s="2" t="s">
        <v>1823</v>
      </c>
      <c r="B241" s="2" t="s">
        <v>1088</v>
      </c>
      <c r="C241" s="2" t="s">
        <v>1588</v>
      </c>
      <c r="D241" s="2">
        <v>1327500</v>
      </c>
    </row>
    <row r="242" spans="1:4" x14ac:dyDescent="0.3">
      <c r="A242" s="2" t="s">
        <v>1824</v>
      </c>
      <c r="B242" s="2" t="s">
        <v>1587</v>
      </c>
      <c r="C242" s="2" t="s">
        <v>1588</v>
      </c>
      <c r="D242" s="2">
        <v>1335000</v>
      </c>
    </row>
    <row r="243" spans="1:4" x14ac:dyDescent="0.3">
      <c r="A243" s="2" t="s">
        <v>1825</v>
      </c>
      <c r="B243" s="2" t="s">
        <v>1082</v>
      </c>
      <c r="C243" s="2" t="s">
        <v>1588</v>
      </c>
      <c r="D243" s="2">
        <v>1342500</v>
      </c>
    </row>
    <row r="244" spans="1:4" x14ac:dyDescent="0.3">
      <c r="A244" s="2" t="s">
        <v>1826</v>
      </c>
      <c r="B244" s="2" t="s">
        <v>1085</v>
      </c>
      <c r="C244" s="2" t="s">
        <v>1588</v>
      </c>
      <c r="D244" s="2">
        <v>1350000</v>
      </c>
    </row>
    <row r="245" spans="1:4" x14ac:dyDescent="0.3">
      <c r="A245" s="2" t="s">
        <v>1827</v>
      </c>
      <c r="B245" s="2" t="s">
        <v>1087</v>
      </c>
      <c r="C245" s="2" t="s">
        <v>1588</v>
      </c>
      <c r="D245" s="2">
        <v>1357500</v>
      </c>
    </row>
    <row r="246" spans="1:4" x14ac:dyDescent="0.3">
      <c r="A246" s="2" t="s">
        <v>1828</v>
      </c>
      <c r="B246" s="2" t="s">
        <v>1088</v>
      </c>
      <c r="C246" s="2" t="s">
        <v>1588</v>
      </c>
      <c r="D246" s="2">
        <v>1365000</v>
      </c>
    </row>
    <row r="247" spans="1:4" x14ac:dyDescent="0.3">
      <c r="A247" s="2" t="s">
        <v>1829</v>
      </c>
      <c r="B247" s="2" t="s">
        <v>1587</v>
      </c>
      <c r="C247" s="2" t="s">
        <v>1588</v>
      </c>
      <c r="D247" s="2">
        <v>1372500</v>
      </c>
    </row>
    <row r="248" spans="1:4" x14ac:dyDescent="0.3">
      <c r="A248" s="2" t="s">
        <v>1830</v>
      </c>
      <c r="B248" s="2" t="s">
        <v>1082</v>
      </c>
      <c r="C248" s="2" t="s">
        <v>1588</v>
      </c>
      <c r="D248" s="2">
        <v>1380000</v>
      </c>
    </row>
    <row r="249" spans="1:4" x14ac:dyDescent="0.3">
      <c r="A249" s="2" t="s">
        <v>1831</v>
      </c>
      <c r="B249" s="2" t="s">
        <v>1085</v>
      </c>
      <c r="C249" s="2" t="s">
        <v>1588</v>
      </c>
      <c r="D249" s="2">
        <v>1387500</v>
      </c>
    </row>
    <row r="250" spans="1:4" x14ac:dyDescent="0.3">
      <c r="A250" s="2" t="s">
        <v>1832</v>
      </c>
      <c r="B250" s="2" t="s">
        <v>1087</v>
      </c>
      <c r="C250" s="2" t="s">
        <v>1588</v>
      </c>
      <c r="D250" s="2">
        <v>1395000</v>
      </c>
    </row>
    <row r="251" spans="1:4" x14ac:dyDescent="0.3">
      <c r="A251" s="2" t="s">
        <v>1833</v>
      </c>
      <c r="B251" s="2" t="s">
        <v>1088</v>
      </c>
      <c r="C251" s="2" t="s">
        <v>1588</v>
      </c>
      <c r="D251" s="2">
        <v>1402500</v>
      </c>
    </row>
    <row r="252" spans="1:4" x14ac:dyDescent="0.3">
      <c r="A252" s="2" t="s">
        <v>1834</v>
      </c>
      <c r="B252" s="2" t="s">
        <v>1587</v>
      </c>
      <c r="C252" s="2" t="s">
        <v>1588</v>
      </c>
      <c r="D252" s="2">
        <v>1410000</v>
      </c>
    </row>
    <row r="253" spans="1:4" x14ac:dyDescent="0.3">
      <c r="A253" s="2" t="s">
        <v>1835</v>
      </c>
      <c r="B253" s="2" t="s">
        <v>1082</v>
      </c>
      <c r="C253" s="2" t="s">
        <v>1588</v>
      </c>
      <c r="D253" s="2">
        <v>1417500</v>
      </c>
    </row>
    <row r="254" spans="1:4" x14ac:dyDescent="0.3">
      <c r="A254" s="2" t="s">
        <v>1836</v>
      </c>
      <c r="B254" s="2" t="s">
        <v>1085</v>
      </c>
      <c r="C254" s="2" t="s">
        <v>1588</v>
      </c>
      <c r="D254" s="2">
        <v>1425000</v>
      </c>
    </row>
    <row r="255" spans="1:4" x14ac:dyDescent="0.3">
      <c r="A255" s="2" t="s">
        <v>1837</v>
      </c>
      <c r="B255" s="2" t="s">
        <v>1087</v>
      </c>
      <c r="C255" s="2" t="s">
        <v>1588</v>
      </c>
      <c r="D255" s="2">
        <v>1432500</v>
      </c>
    </row>
    <row r="256" spans="1:4" x14ac:dyDescent="0.3">
      <c r="A256" s="2" t="s">
        <v>1838</v>
      </c>
      <c r="B256" s="2" t="s">
        <v>1088</v>
      </c>
      <c r="C256" s="2" t="s">
        <v>1588</v>
      </c>
      <c r="D256" s="2">
        <v>1440000</v>
      </c>
    </row>
    <row r="257" spans="1:4" x14ac:dyDescent="0.3">
      <c r="A257" s="2" t="s">
        <v>1839</v>
      </c>
      <c r="B257" s="2" t="s">
        <v>1587</v>
      </c>
      <c r="C257" s="2" t="s">
        <v>1588</v>
      </c>
      <c r="D257" s="2">
        <v>1447500</v>
      </c>
    </row>
    <row r="258" spans="1:4" x14ac:dyDescent="0.3">
      <c r="A258" s="2" t="s">
        <v>1840</v>
      </c>
      <c r="B258" s="2" t="s">
        <v>1082</v>
      </c>
      <c r="C258" s="2" t="s">
        <v>1588</v>
      </c>
      <c r="D258" s="2">
        <v>1455000</v>
      </c>
    </row>
    <row r="259" spans="1:4" x14ac:dyDescent="0.3">
      <c r="A259" s="2" t="s">
        <v>1841</v>
      </c>
      <c r="B259" s="2" t="s">
        <v>1085</v>
      </c>
      <c r="C259" s="2" t="s">
        <v>1588</v>
      </c>
      <c r="D259" s="2">
        <v>1462500</v>
      </c>
    </row>
    <row r="260" spans="1:4" x14ac:dyDescent="0.3">
      <c r="A260" s="2" t="s">
        <v>1842</v>
      </c>
      <c r="B260" s="2" t="s">
        <v>1087</v>
      </c>
      <c r="C260" s="2" t="s">
        <v>1588</v>
      </c>
      <c r="D260" s="2">
        <v>1470000</v>
      </c>
    </row>
    <row r="261" spans="1:4" x14ac:dyDescent="0.3">
      <c r="A261" s="2" t="s">
        <v>1843</v>
      </c>
      <c r="B261" s="2" t="s">
        <v>1088</v>
      </c>
      <c r="C261" s="2" t="s">
        <v>1588</v>
      </c>
      <c r="D261" s="2">
        <v>1477500</v>
      </c>
    </row>
    <row r="262" spans="1:4" x14ac:dyDescent="0.3">
      <c r="A262" s="2" t="s">
        <v>1844</v>
      </c>
      <c r="B262" s="2" t="s">
        <v>1587</v>
      </c>
      <c r="C262" s="2" t="s">
        <v>1588</v>
      </c>
      <c r="D262" s="2">
        <v>1485000</v>
      </c>
    </row>
    <row r="263" spans="1:4" x14ac:dyDescent="0.3">
      <c r="A263" s="2" t="s">
        <v>1845</v>
      </c>
      <c r="B263" s="2" t="s">
        <v>1082</v>
      </c>
      <c r="C263" s="2" t="s">
        <v>1588</v>
      </c>
      <c r="D263" s="2">
        <v>1492500</v>
      </c>
    </row>
    <row r="264" spans="1:4" x14ac:dyDescent="0.3">
      <c r="A264" s="2" t="s">
        <v>1846</v>
      </c>
      <c r="B264" s="2" t="s">
        <v>1085</v>
      </c>
      <c r="C264" s="2" t="s">
        <v>1588</v>
      </c>
      <c r="D264" s="2">
        <v>1500000</v>
      </c>
    </row>
    <row r="265" spans="1:4" x14ac:dyDescent="0.3">
      <c r="A265" s="2" t="s">
        <v>1847</v>
      </c>
      <c r="B265" s="2" t="s">
        <v>1087</v>
      </c>
      <c r="C265" s="2" t="s">
        <v>1588</v>
      </c>
      <c r="D265" s="2">
        <v>1507500</v>
      </c>
    </row>
    <row r="266" spans="1:4" x14ac:dyDescent="0.3">
      <c r="A266" s="2" t="s">
        <v>1848</v>
      </c>
      <c r="B266" s="2" t="s">
        <v>1088</v>
      </c>
      <c r="C266" s="2" t="s">
        <v>1588</v>
      </c>
      <c r="D266" s="2">
        <v>1515000</v>
      </c>
    </row>
    <row r="267" spans="1:4" x14ac:dyDescent="0.3">
      <c r="A267" s="2" t="s">
        <v>1849</v>
      </c>
      <c r="B267" s="2" t="s">
        <v>1587</v>
      </c>
      <c r="C267" s="2" t="s">
        <v>1588</v>
      </c>
      <c r="D267" s="2">
        <v>1522500</v>
      </c>
    </row>
    <row r="268" spans="1:4" x14ac:dyDescent="0.3">
      <c r="A268" s="2" t="s">
        <v>1850</v>
      </c>
      <c r="B268" s="2" t="s">
        <v>1082</v>
      </c>
      <c r="C268" s="2" t="s">
        <v>1588</v>
      </c>
      <c r="D268" s="2">
        <v>1530000</v>
      </c>
    </row>
    <row r="269" spans="1:4" x14ac:dyDescent="0.3">
      <c r="A269" s="2" t="s">
        <v>1851</v>
      </c>
      <c r="B269" s="2" t="s">
        <v>1085</v>
      </c>
      <c r="C269" s="2" t="s">
        <v>1588</v>
      </c>
      <c r="D269" s="2">
        <v>1537500</v>
      </c>
    </row>
    <row r="270" spans="1:4" x14ac:dyDescent="0.3">
      <c r="A270" s="2" t="s">
        <v>1852</v>
      </c>
      <c r="B270" s="2" t="s">
        <v>1087</v>
      </c>
      <c r="C270" s="2" t="s">
        <v>1588</v>
      </c>
      <c r="D270" s="2">
        <v>1545000</v>
      </c>
    </row>
    <row r="271" spans="1:4" x14ac:dyDescent="0.3">
      <c r="A271" s="2" t="s">
        <v>1853</v>
      </c>
      <c r="B271" s="2" t="s">
        <v>1088</v>
      </c>
      <c r="C271" s="2" t="s">
        <v>1588</v>
      </c>
      <c r="D271" s="2">
        <v>1552500</v>
      </c>
    </row>
    <row r="272" spans="1:4" x14ac:dyDescent="0.3">
      <c r="A272" s="2" t="s">
        <v>1854</v>
      </c>
      <c r="B272" s="2" t="s">
        <v>1587</v>
      </c>
      <c r="C272" s="2" t="s">
        <v>1588</v>
      </c>
      <c r="D272" s="2">
        <v>1560000</v>
      </c>
    </row>
    <row r="273" spans="1:4" x14ac:dyDescent="0.3">
      <c r="A273" s="2" t="s">
        <v>1855</v>
      </c>
      <c r="B273" s="2" t="s">
        <v>1082</v>
      </c>
      <c r="C273" s="2" t="s">
        <v>1588</v>
      </c>
      <c r="D273" s="2">
        <v>1567500</v>
      </c>
    </row>
    <row r="274" spans="1:4" x14ac:dyDescent="0.3">
      <c r="A274" s="2" t="s">
        <v>1856</v>
      </c>
      <c r="B274" s="2" t="s">
        <v>1085</v>
      </c>
      <c r="C274" s="2" t="s">
        <v>1588</v>
      </c>
      <c r="D274" s="2">
        <v>1575000</v>
      </c>
    </row>
    <row r="275" spans="1:4" x14ac:dyDescent="0.3">
      <c r="A275" s="2" t="s">
        <v>1857</v>
      </c>
      <c r="B275" s="2" t="s">
        <v>1087</v>
      </c>
      <c r="C275" s="2" t="s">
        <v>1588</v>
      </c>
      <c r="D275" s="2">
        <v>1582500</v>
      </c>
    </row>
    <row r="276" spans="1:4" x14ac:dyDescent="0.3">
      <c r="A276" s="2" t="s">
        <v>1858</v>
      </c>
      <c r="B276" s="2" t="s">
        <v>1088</v>
      </c>
      <c r="C276" s="2" t="s">
        <v>1588</v>
      </c>
      <c r="D276" s="2">
        <v>1590000</v>
      </c>
    </row>
    <row r="277" spans="1:4" x14ac:dyDescent="0.3">
      <c r="A277" s="2" t="s">
        <v>1859</v>
      </c>
      <c r="B277" s="2" t="s">
        <v>1587</v>
      </c>
      <c r="C277" s="2" t="s">
        <v>1588</v>
      </c>
      <c r="D277" s="2">
        <v>1597500</v>
      </c>
    </row>
    <row r="278" spans="1:4" x14ac:dyDescent="0.3">
      <c r="A278" s="2" t="s">
        <v>1860</v>
      </c>
      <c r="B278" s="2" t="s">
        <v>1082</v>
      </c>
      <c r="C278" s="2" t="s">
        <v>1588</v>
      </c>
      <c r="D278" s="2">
        <v>1605000</v>
      </c>
    </row>
    <row r="279" spans="1:4" x14ac:dyDescent="0.3">
      <c r="A279" s="2" t="s">
        <v>1861</v>
      </c>
      <c r="B279" s="2" t="s">
        <v>1085</v>
      </c>
      <c r="C279" s="2" t="s">
        <v>1588</v>
      </c>
      <c r="D279" s="2">
        <v>1612500</v>
      </c>
    </row>
    <row r="280" spans="1:4" x14ac:dyDescent="0.3">
      <c r="A280" s="2" t="s">
        <v>1862</v>
      </c>
      <c r="B280" s="2" t="s">
        <v>1087</v>
      </c>
      <c r="C280" s="2" t="s">
        <v>1588</v>
      </c>
      <c r="D280" s="2">
        <v>1620000</v>
      </c>
    </row>
    <row r="281" spans="1:4" x14ac:dyDescent="0.3">
      <c r="A281" s="2" t="s">
        <v>1863</v>
      </c>
      <c r="B281" s="2" t="s">
        <v>1088</v>
      </c>
      <c r="C281" s="2" t="s">
        <v>1588</v>
      </c>
      <c r="D281" s="2">
        <v>1627500</v>
      </c>
    </row>
    <row r="282" spans="1:4" x14ac:dyDescent="0.3">
      <c r="A282" s="2" t="s">
        <v>1864</v>
      </c>
      <c r="B282" s="2" t="s">
        <v>1587</v>
      </c>
      <c r="C282" s="2" t="s">
        <v>1588</v>
      </c>
      <c r="D282" s="2">
        <v>1635000</v>
      </c>
    </row>
    <row r="283" spans="1:4" x14ac:dyDescent="0.3">
      <c r="A283" s="2" t="s">
        <v>1865</v>
      </c>
      <c r="B283" s="2" t="s">
        <v>1082</v>
      </c>
      <c r="C283" s="2" t="s">
        <v>1588</v>
      </c>
      <c r="D283" s="2">
        <v>1642500</v>
      </c>
    </row>
    <row r="284" spans="1:4" x14ac:dyDescent="0.3">
      <c r="A284" s="2" t="s">
        <v>1866</v>
      </c>
      <c r="B284" s="2" t="s">
        <v>1085</v>
      </c>
      <c r="C284" s="2" t="s">
        <v>1588</v>
      </c>
      <c r="D284" s="2">
        <v>1650000</v>
      </c>
    </row>
    <row r="285" spans="1:4" x14ac:dyDescent="0.3">
      <c r="A285" s="2" t="s">
        <v>1867</v>
      </c>
      <c r="B285" s="2" t="s">
        <v>1087</v>
      </c>
      <c r="C285" s="2" t="s">
        <v>1588</v>
      </c>
      <c r="D285" s="2">
        <v>1657500</v>
      </c>
    </row>
    <row r="286" spans="1:4" x14ac:dyDescent="0.3">
      <c r="A286" s="2" t="s">
        <v>1868</v>
      </c>
      <c r="B286" s="2" t="s">
        <v>1088</v>
      </c>
      <c r="C286" s="2" t="s">
        <v>1588</v>
      </c>
      <c r="D286" s="2">
        <v>1665000</v>
      </c>
    </row>
    <row r="287" spans="1:4" x14ac:dyDescent="0.3">
      <c r="A287" s="2" t="s">
        <v>1869</v>
      </c>
      <c r="B287" s="2" t="s">
        <v>1587</v>
      </c>
      <c r="C287" s="2" t="s">
        <v>1588</v>
      </c>
      <c r="D287" s="2">
        <v>1672500</v>
      </c>
    </row>
    <row r="288" spans="1:4" x14ac:dyDescent="0.3">
      <c r="A288" s="2" t="s">
        <v>1870</v>
      </c>
      <c r="B288" s="2" t="s">
        <v>1082</v>
      </c>
      <c r="C288" s="2" t="s">
        <v>1588</v>
      </c>
      <c r="D288" s="2">
        <v>1680000</v>
      </c>
    </row>
    <row r="289" spans="1:4" x14ac:dyDescent="0.3">
      <c r="A289" s="2" t="s">
        <v>1871</v>
      </c>
      <c r="B289" s="2" t="s">
        <v>1085</v>
      </c>
      <c r="C289" s="2" t="s">
        <v>1588</v>
      </c>
      <c r="D289" s="2">
        <v>1687500</v>
      </c>
    </row>
    <row r="290" spans="1:4" x14ac:dyDescent="0.3">
      <c r="A290" s="2" t="s">
        <v>1872</v>
      </c>
      <c r="B290" s="2" t="s">
        <v>1087</v>
      </c>
      <c r="C290" s="2" t="s">
        <v>1588</v>
      </c>
      <c r="D290" s="2">
        <v>1695000</v>
      </c>
    </row>
    <row r="291" spans="1:4" x14ac:dyDescent="0.3">
      <c r="A291" s="2" t="s">
        <v>1873</v>
      </c>
      <c r="B291" s="2" t="s">
        <v>1088</v>
      </c>
      <c r="C291" s="2" t="s">
        <v>1588</v>
      </c>
      <c r="D291" s="2">
        <v>1702500</v>
      </c>
    </row>
    <row r="292" spans="1:4" x14ac:dyDescent="0.3">
      <c r="A292" s="2" t="s">
        <v>1874</v>
      </c>
      <c r="B292" s="2" t="s">
        <v>1587</v>
      </c>
      <c r="C292" s="2" t="s">
        <v>1588</v>
      </c>
      <c r="D292" s="2">
        <v>1710000</v>
      </c>
    </row>
    <row r="293" spans="1:4" x14ac:dyDescent="0.3">
      <c r="A293" s="2" t="s">
        <v>1875</v>
      </c>
      <c r="B293" s="2" t="s">
        <v>1082</v>
      </c>
      <c r="C293" s="2" t="s">
        <v>1588</v>
      </c>
      <c r="D293" s="2">
        <v>1717500</v>
      </c>
    </row>
    <row r="294" spans="1:4" x14ac:dyDescent="0.3">
      <c r="A294" s="2" t="s">
        <v>1876</v>
      </c>
      <c r="B294" s="2" t="s">
        <v>1085</v>
      </c>
      <c r="C294" s="2" t="s">
        <v>1588</v>
      </c>
      <c r="D294" s="2">
        <v>1725000</v>
      </c>
    </row>
    <row r="295" spans="1:4" x14ac:dyDescent="0.3">
      <c r="A295" s="2" t="s">
        <v>1877</v>
      </c>
      <c r="B295" s="2" t="s">
        <v>1087</v>
      </c>
      <c r="C295" s="2" t="s">
        <v>1588</v>
      </c>
      <c r="D295" s="2">
        <v>1732500</v>
      </c>
    </row>
    <row r="296" spans="1:4" x14ac:dyDescent="0.3">
      <c r="A296" s="2" t="s">
        <v>1878</v>
      </c>
      <c r="B296" s="2" t="s">
        <v>1088</v>
      </c>
      <c r="C296" s="2" t="s">
        <v>1588</v>
      </c>
      <c r="D296" s="2">
        <v>1740000</v>
      </c>
    </row>
    <row r="297" spans="1:4" x14ac:dyDescent="0.3">
      <c r="A297" s="2" t="s">
        <v>1879</v>
      </c>
      <c r="B297" s="2" t="s">
        <v>1587</v>
      </c>
      <c r="C297" s="2" t="s">
        <v>1588</v>
      </c>
      <c r="D297" s="2">
        <v>1747500</v>
      </c>
    </row>
    <row r="298" spans="1:4" x14ac:dyDescent="0.3">
      <c r="A298" s="2" t="s">
        <v>1880</v>
      </c>
      <c r="B298" s="2" t="s">
        <v>1082</v>
      </c>
      <c r="C298" s="2" t="s">
        <v>1588</v>
      </c>
      <c r="D298" s="2">
        <v>1755000</v>
      </c>
    </row>
    <row r="299" spans="1:4" x14ac:dyDescent="0.3">
      <c r="A299" s="2" t="s">
        <v>1881</v>
      </c>
      <c r="B299" s="2" t="s">
        <v>1085</v>
      </c>
      <c r="C299" s="2" t="s">
        <v>1588</v>
      </c>
      <c r="D299" s="2">
        <v>1762500</v>
      </c>
    </row>
    <row r="300" spans="1:4" x14ac:dyDescent="0.3">
      <c r="A300" s="2" t="s">
        <v>1882</v>
      </c>
      <c r="B300" s="2" t="s">
        <v>1087</v>
      </c>
      <c r="C300" s="2" t="s">
        <v>1588</v>
      </c>
      <c r="D300" s="2">
        <v>1770000</v>
      </c>
    </row>
    <row r="301" spans="1:4" x14ac:dyDescent="0.3">
      <c r="A301" s="2" t="s">
        <v>1883</v>
      </c>
      <c r="B301" s="2" t="s">
        <v>1088</v>
      </c>
      <c r="C301" s="2" t="s">
        <v>1588</v>
      </c>
      <c r="D301" s="2">
        <v>1777500</v>
      </c>
    </row>
    <row r="302" spans="1:4" x14ac:dyDescent="0.3">
      <c r="A302" s="2" t="s">
        <v>1884</v>
      </c>
      <c r="B302" s="2" t="s">
        <v>1587</v>
      </c>
      <c r="C302" s="2" t="s">
        <v>1588</v>
      </c>
      <c r="D302" s="2">
        <v>1785000</v>
      </c>
    </row>
    <row r="303" spans="1:4" x14ac:dyDescent="0.3">
      <c r="A303" s="2" t="s">
        <v>1885</v>
      </c>
      <c r="B303" s="2" t="s">
        <v>1082</v>
      </c>
      <c r="C303" s="2" t="s">
        <v>1588</v>
      </c>
      <c r="D303" s="2">
        <v>1792500</v>
      </c>
    </row>
    <row r="304" spans="1:4" x14ac:dyDescent="0.3">
      <c r="A304" s="2" t="s">
        <v>1886</v>
      </c>
      <c r="B304" s="2" t="s">
        <v>1085</v>
      </c>
      <c r="C304" s="2" t="s">
        <v>1588</v>
      </c>
      <c r="D304" s="2">
        <v>1800000</v>
      </c>
    </row>
    <row r="305" spans="1:4" x14ac:dyDescent="0.3">
      <c r="A305" s="2" t="s">
        <v>1887</v>
      </c>
      <c r="B305" s="2" t="s">
        <v>1087</v>
      </c>
      <c r="C305" s="2" t="s">
        <v>1588</v>
      </c>
      <c r="D305" s="2">
        <v>1807500</v>
      </c>
    </row>
    <row r="306" spans="1:4" x14ac:dyDescent="0.3">
      <c r="A306" s="2" t="s">
        <v>1888</v>
      </c>
      <c r="B306" s="2" t="s">
        <v>1088</v>
      </c>
      <c r="C306" s="2" t="s">
        <v>1588</v>
      </c>
      <c r="D306" s="2">
        <v>1815000</v>
      </c>
    </row>
    <row r="307" spans="1:4" x14ac:dyDescent="0.3">
      <c r="A307" s="2" t="s">
        <v>1889</v>
      </c>
      <c r="B307" s="2" t="s">
        <v>1587</v>
      </c>
      <c r="C307" s="2" t="s">
        <v>1588</v>
      </c>
      <c r="D307" s="2">
        <v>1822500</v>
      </c>
    </row>
    <row r="308" spans="1:4" x14ac:dyDescent="0.3">
      <c r="A308" s="2" t="s">
        <v>1890</v>
      </c>
      <c r="B308" s="2" t="s">
        <v>1082</v>
      </c>
      <c r="C308" s="2" t="s">
        <v>1588</v>
      </c>
      <c r="D308" s="2">
        <v>1830000</v>
      </c>
    </row>
    <row r="309" spans="1:4" x14ac:dyDescent="0.3">
      <c r="A309" s="2" t="s">
        <v>1891</v>
      </c>
      <c r="B309" s="2" t="s">
        <v>1085</v>
      </c>
      <c r="C309" s="2" t="s">
        <v>1588</v>
      </c>
      <c r="D309" s="2">
        <v>1837500</v>
      </c>
    </row>
    <row r="310" spans="1:4" x14ac:dyDescent="0.3">
      <c r="A310" s="2" t="s">
        <v>1892</v>
      </c>
      <c r="B310" s="2" t="s">
        <v>1087</v>
      </c>
      <c r="C310" s="2" t="s">
        <v>1588</v>
      </c>
      <c r="D310" s="2">
        <v>1845000</v>
      </c>
    </row>
    <row r="311" spans="1:4" x14ac:dyDescent="0.3">
      <c r="A311" s="2" t="s">
        <v>1893</v>
      </c>
      <c r="B311" s="2" t="s">
        <v>1088</v>
      </c>
      <c r="C311" s="2" t="s">
        <v>1588</v>
      </c>
      <c r="D311" s="2">
        <v>1852500</v>
      </c>
    </row>
    <row r="312" spans="1:4" x14ac:dyDescent="0.3">
      <c r="A312" s="2" t="s">
        <v>1894</v>
      </c>
      <c r="B312" s="2" t="s">
        <v>1587</v>
      </c>
      <c r="C312" s="2" t="s">
        <v>1588</v>
      </c>
      <c r="D312" s="2">
        <v>1860000</v>
      </c>
    </row>
    <row r="313" spans="1:4" x14ac:dyDescent="0.3">
      <c r="A313" s="2" t="s">
        <v>1895</v>
      </c>
      <c r="B313" s="2" t="s">
        <v>1082</v>
      </c>
      <c r="C313" s="2" t="s">
        <v>1588</v>
      </c>
      <c r="D313" s="2">
        <v>1867500</v>
      </c>
    </row>
    <row r="314" spans="1:4" x14ac:dyDescent="0.3">
      <c r="A314" s="2" t="s">
        <v>1896</v>
      </c>
      <c r="B314" s="2" t="s">
        <v>1085</v>
      </c>
      <c r="C314" s="2" t="s">
        <v>1588</v>
      </c>
      <c r="D314" s="2">
        <v>1875000</v>
      </c>
    </row>
    <row r="315" spans="1:4" x14ac:dyDescent="0.3">
      <c r="A315" s="2" t="s">
        <v>1897</v>
      </c>
      <c r="B315" s="2" t="s">
        <v>1087</v>
      </c>
      <c r="C315" s="2" t="s">
        <v>1588</v>
      </c>
      <c r="D315" s="2">
        <v>1882500</v>
      </c>
    </row>
    <row r="316" spans="1:4" x14ac:dyDescent="0.3">
      <c r="A316" s="2" t="s">
        <v>1898</v>
      </c>
      <c r="B316" s="2" t="s">
        <v>1088</v>
      </c>
      <c r="C316" s="2" t="s">
        <v>1588</v>
      </c>
      <c r="D316" s="2">
        <v>1890000</v>
      </c>
    </row>
    <row r="317" spans="1:4" x14ac:dyDescent="0.3">
      <c r="A317" s="2" t="s">
        <v>1899</v>
      </c>
      <c r="B317" s="2" t="s">
        <v>1587</v>
      </c>
      <c r="C317" s="2" t="s">
        <v>1588</v>
      </c>
      <c r="D317" s="2">
        <v>1897500</v>
      </c>
    </row>
    <row r="318" spans="1:4" x14ac:dyDescent="0.3">
      <c r="A318" s="2" t="s">
        <v>1900</v>
      </c>
      <c r="B318" s="2" t="s">
        <v>1082</v>
      </c>
      <c r="C318" s="2" t="s">
        <v>1588</v>
      </c>
      <c r="D318" s="2">
        <v>1905000</v>
      </c>
    </row>
    <row r="319" spans="1:4" x14ac:dyDescent="0.3">
      <c r="A319" s="2" t="s">
        <v>1901</v>
      </c>
      <c r="B319" s="2" t="s">
        <v>1085</v>
      </c>
      <c r="C319" s="2" t="s">
        <v>1588</v>
      </c>
      <c r="D319" s="2">
        <v>1912500</v>
      </c>
    </row>
    <row r="320" spans="1:4" x14ac:dyDescent="0.3">
      <c r="A320" s="2" t="s">
        <v>1902</v>
      </c>
      <c r="B320" s="2" t="s">
        <v>1087</v>
      </c>
      <c r="C320" s="2" t="s">
        <v>1588</v>
      </c>
      <c r="D320" s="2">
        <v>1920000</v>
      </c>
    </row>
    <row r="321" spans="1:4" x14ac:dyDescent="0.3">
      <c r="A321" s="2" t="s">
        <v>1903</v>
      </c>
      <c r="B321" s="2" t="s">
        <v>1088</v>
      </c>
      <c r="C321" s="2" t="s">
        <v>1588</v>
      </c>
      <c r="D321" s="2">
        <v>1927500</v>
      </c>
    </row>
    <row r="322" spans="1:4" x14ac:dyDescent="0.3">
      <c r="A322" s="2" t="s">
        <v>1904</v>
      </c>
      <c r="B322" s="2" t="s">
        <v>1587</v>
      </c>
      <c r="C322" s="2" t="s">
        <v>1588</v>
      </c>
      <c r="D322" s="2">
        <v>1935000</v>
      </c>
    </row>
    <row r="323" spans="1:4" x14ac:dyDescent="0.3">
      <c r="A323" s="2" t="s">
        <v>1905</v>
      </c>
      <c r="B323" s="2" t="s">
        <v>1082</v>
      </c>
      <c r="C323" s="2" t="s">
        <v>1588</v>
      </c>
      <c r="D323" s="2">
        <v>1942500</v>
      </c>
    </row>
    <row r="324" spans="1:4" x14ac:dyDescent="0.3">
      <c r="A324" s="2" t="s">
        <v>1906</v>
      </c>
      <c r="B324" s="2" t="s">
        <v>1085</v>
      </c>
      <c r="C324" s="2" t="s">
        <v>1588</v>
      </c>
      <c r="D324" s="2">
        <v>1950000</v>
      </c>
    </row>
    <row r="325" spans="1:4" x14ac:dyDescent="0.3">
      <c r="A325" s="2" t="s">
        <v>1907</v>
      </c>
      <c r="B325" s="2" t="s">
        <v>1087</v>
      </c>
      <c r="C325" s="2" t="s">
        <v>1588</v>
      </c>
      <c r="D325" s="2">
        <v>1957500</v>
      </c>
    </row>
    <row r="326" spans="1:4" x14ac:dyDescent="0.3">
      <c r="A326" s="2" t="s">
        <v>1908</v>
      </c>
      <c r="B326" s="2" t="s">
        <v>1088</v>
      </c>
      <c r="C326" s="2" t="s">
        <v>1588</v>
      </c>
      <c r="D326" s="2">
        <v>1965000</v>
      </c>
    </row>
    <row r="327" spans="1:4" x14ac:dyDescent="0.3">
      <c r="A327" s="2" t="s">
        <v>1909</v>
      </c>
      <c r="B327" s="2" t="s">
        <v>1587</v>
      </c>
      <c r="C327" s="2" t="s">
        <v>1588</v>
      </c>
      <c r="D327" s="2">
        <v>1972500</v>
      </c>
    </row>
    <row r="328" spans="1:4" x14ac:dyDescent="0.3">
      <c r="A328" s="2" t="s">
        <v>1910</v>
      </c>
      <c r="B328" s="2" t="s">
        <v>1082</v>
      </c>
      <c r="C328" s="2" t="s">
        <v>1588</v>
      </c>
      <c r="D328" s="2">
        <v>1980000</v>
      </c>
    </row>
    <row r="329" spans="1:4" x14ac:dyDescent="0.3">
      <c r="A329" s="2" t="s">
        <v>1911</v>
      </c>
      <c r="B329" s="2" t="s">
        <v>1085</v>
      </c>
      <c r="C329" s="2" t="s">
        <v>1588</v>
      </c>
      <c r="D329" s="2">
        <v>1987500</v>
      </c>
    </row>
    <row r="330" spans="1:4" x14ac:dyDescent="0.3">
      <c r="A330" s="2" t="s">
        <v>1912</v>
      </c>
      <c r="B330" s="2" t="s">
        <v>1087</v>
      </c>
      <c r="C330" s="2" t="s">
        <v>1588</v>
      </c>
      <c r="D330" s="2">
        <v>1995000</v>
      </c>
    </row>
    <row r="331" spans="1:4" x14ac:dyDescent="0.3">
      <c r="A331" s="2" t="s">
        <v>1913</v>
      </c>
      <c r="B331" s="2" t="s">
        <v>1088</v>
      </c>
      <c r="C331" s="2" t="s">
        <v>1588</v>
      </c>
      <c r="D331" s="2">
        <v>2002500</v>
      </c>
    </row>
    <row r="332" spans="1:4" x14ac:dyDescent="0.3">
      <c r="A332" s="2" t="s">
        <v>1914</v>
      </c>
      <c r="B332" s="2" t="s">
        <v>1587</v>
      </c>
      <c r="C332" s="2" t="s">
        <v>1588</v>
      </c>
      <c r="D332" s="2">
        <v>2010000</v>
      </c>
    </row>
    <row r="333" spans="1:4" x14ac:dyDescent="0.3">
      <c r="A333" s="2" t="s">
        <v>1915</v>
      </c>
      <c r="B333" s="2" t="s">
        <v>1082</v>
      </c>
      <c r="C333" s="2" t="s">
        <v>1588</v>
      </c>
      <c r="D333" s="2">
        <v>2017500</v>
      </c>
    </row>
    <row r="334" spans="1:4" x14ac:dyDescent="0.3">
      <c r="A334" s="2" t="s">
        <v>1916</v>
      </c>
      <c r="B334" s="2" t="s">
        <v>1085</v>
      </c>
      <c r="C334" s="2" t="s">
        <v>1588</v>
      </c>
      <c r="D334" s="2">
        <v>2025000</v>
      </c>
    </row>
    <row r="335" spans="1:4" x14ac:dyDescent="0.3">
      <c r="A335" s="2" t="s">
        <v>1917</v>
      </c>
      <c r="B335" s="2" t="s">
        <v>1087</v>
      </c>
      <c r="C335" s="2" t="s">
        <v>1588</v>
      </c>
      <c r="D335" s="2">
        <v>2032500</v>
      </c>
    </row>
    <row r="336" spans="1:4" x14ac:dyDescent="0.3">
      <c r="A336" s="2" t="s">
        <v>1918</v>
      </c>
      <c r="B336" s="2" t="s">
        <v>1088</v>
      </c>
      <c r="C336" s="2" t="s">
        <v>1588</v>
      </c>
      <c r="D336" s="2">
        <v>2040000</v>
      </c>
    </row>
    <row r="337" spans="1:4" x14ac:dyDescent="0.3">
      <c r="A337" s="2" t="s">
        <v>1919</v>
      </c>
      <c r="B337" s="2" t="s">
        <v>1587</v>
      </c>
      <c r="C337" s="2" t="s">
        <v>1588</v>
      </c>
      <c r="D337" s="2">
        <v>2047500</v>
      </c>
    </row>
    <row r="338" spans="1:4" x14ac:dyDescent="0.3">
      <c r="A338" s="2" t="s">
        <v>1920</v>
      </c>
      <c r="B338" s="2" t="s">
        <v>1082</v>
      </c>
      <c r="C338" s="2" t="s">
        <v>1588</v>
      </c>
      <c r="D338" s="2">
        <v>2055000</v>
      </c>
    </row>
    <row r="339" spans="1:4" x14ac:dyDescent="0.3">
      <c r="A339" s="2" t="s">
        <v>1921</v>
      </c>
      <c r="B339" s="2" t="s">
        <v>1085</v>
      </c>
      <c r="C339" s="2" t="s">
        <v>1588</v>
      </c>
      <c r="D339" s="2">
        <v>2062500</v>
      </c>
    </row>
    <row r="340" spans="1:4" x14ac:dyDescent="0.3">
      <c r="A340" s="2" t="s">
        <v>1922</v>
      </c>
      <c r="B340" s="2" t="s">
        <v>1087</v>
      </c>
      <c r="C340" s="2" t="s">
        <v>1588</v>
      </c>
      <c r="D340" s="2">
        <v>2070000</v>
      </c>
    </row>
    <row r="341" spans="1:4" x14ac:dyDescent="0.3">
      <c r="A341" s="2" t="s">
        <v>1923</v>
      </c>
      <c r="B341" s="2" t="s">
        <v>1088</v>
      </c>
      <c r="C341" s="2" t="s">
        <v>1588</v>
      </c>
      <c r="D341" s="2">
        <v>2077500</v>
      </c>
    </row>
    <row r="342" spans="1:4" x14ac:dyDescent="0.3">
      <c r="A342" s="2" t="s">
        <v>1924</v>
      </c>
      <c r="B342" s="2" t="s">
        <v>1587</v>
      </c>
      <c r="C342" s="2" t="s">
        <v>1588</v>
      </c>
      <c r="D342" s="2">
        <v>2085000</v>
      </c>
    </row>
    <row r="343" spans="1:4" x14ac:dyDescent="0.3">
      <c r="A343" s="2" t="s">
        <v>1925</v>
      </c>
      <c r="B343" s="2" t="s">
        <v>1082</v>
      </c>
      <c r="C343" s="2" t="s">
        <v>1588</v>
      </c>
      <c r="D343" s="2">
        <v>2092500</v>
      </c>
    </row>
    <row r="344" spans="1:4" x14ac:dyDescent="0.3">
      <c r="A344" s="2" t="s">
        <v>1926</v>
      </c>
      <c r="B344" s="2" t="s">
        <v>1085</v>
      </c>
      <c r="C344" s="2" t="s">
        <v>1588</v>
      </c>
      <c r="D344" s="2">
        <v>2100000</v>
      </c>
    </row>
    <row r="345" spans="1:4" x14ac:dyDescent="0.3">
      <c r="A345" s="2" t="s">
        <v>1927</v>
      </c>
      <c r="B345" s="2" t="s">
        <v>1087</v>
      </c>
      <c r="C345" s="2" t="s">
        <v>1588</v>
      </c>
      <c r="D345" s="2">
        <v>2107500</v>
      </c>
    </row>
    <row r="346" spans="1:4" x14ac:dyDescent="0.3">
      <c r="A346" s="2" t="s">
        <v>1928</v>
      </c>
      <c r="B346" s="2" t="s">
        <v>1088</v>
      </c>
      <c r="C346" s="2" t="s">
        <v>1588</v>
      </c>
      <c r="D346" s="2">
        <v>2115000</v>
      </c>
    </row>
    <row r="347" spans="1:4" x14ac:dyDescent="0.3">
      <c r="A347" s="2" t="s">
        <v>1929</v>
      </c>
      <c r="B347" s="2" t="s">
        <v>1587</v>
      </c>
      <c r="C347" s="2" t="s">
        <v>1588</v>
      </c>
      <c r="D347" s="2">
        <v>2122500</v>
      </c>
    </row>
    <row r="348" spans="1:4" x14ac:dyDescent="0.3">
      <c r="A348" s="2" t="s">
        <v>1930</v>
      </c>
      <c r="B348" s="2" t="s">
        <v>1082</v>
      </c>
      <c r="C348" s="2" t="s">
        <v>1588</v>
      </c>
      <c r="D348" s="2">
        <v>2130000</v>
      </c>
    </row>
    <row r="349" spans="1:4" x14ac:dyDescent="0.3">
      <c r="A349" s="2" t="s">
        <v>1931</v>
      </c>
      <c r="B349" s="2" t="s">
        <v>1085</v>
      </c>
      <c r="C349" s="2" t="s">
        <v>1588</v>
      </c>
      <c r="D349" s="2">
        <v>2137500</v>
      </c>
    </row>
    <row r="350" spans="1:4" x14ac:dyDescent="0.3">
      <c r="A350" s="2" t="s">
        <v>1932</v>
      </c>
      <c r="B350" s="2" t="s">
        <v>1087</v>
      </c>
      <c r="C350" s="2" t="s">
        <v>1588</v>
      </c>
      <c r="D350" s="2">
        <v>2145000</v>
      </c>
    </row>
    <row r="351" spans="1:4" x14ac:dyDescent="0.3">
      <c r="A351" s="2" t="s">
        <v>1933</v>
      </c>
      <c r="B351" s="2" t="s">
        <v>1088</v>
      </c>
      <c r="C351" s="2" t="s">
        <v>1588</v>
      </c>
      <c r="D351" s="2">
        <v>2152500</v>
      </c>
    </row>
    <row r="352" spans="1:4" x14ac:dyDescent="0.3">
      <c r="A352" s="2" t="s">
        <v>1934</v>
      </c>
      <c r="B352" s="2" t="s">
        <v>1587</v>
      </c>
      <c r="C352" s="2" t="s">
        <v>1588</v>
      </c>
      <c r="D352" s="2">
        <v>2160000</v>
      </c>
    </row>
    <row r="353" spans="1:4" x14ac:dyDescent="0.3">
      <c r="A353" s="2" t="s">
        <v>1935</v>
      </c>
      <c r="B353" s="2" t="s">
        <v>1082</v>
      </c>
      <c r="C353" s="2" t="s">
        <v>1588</v>
      </c>
      <c r="D353" s="2">
        <v>2167500</v>
      </c>
    </row>
    <row r="354" spans="1:4" x14ac:dyDescent="0.3">
      <c r="A354" s="2" t="s">
        <v>1936</v>
      </c>
      <c r="B354" s="2" t="s">
        <v>1085</v>
      </c>
      <c r="C354" s="2" t="s">
        <v>1588</v>
      </c>
      <c r="D354" s="2">
        <v>2175000</v>
      </c>
    </row>
    <row r="355" spans="1:4" x14ac:dyDescent="0.3">
      <c r="A355" s="2" t="s">
        <v>1937</v>
      </c>
      <c r="B355" s="2" t="s">
        <v>1087</v>
      </c>
      <c r="C355" s="2" t="s">
        <v>1588</v>
      </c>
      <c r="D355" s="2">
        <v>2182500</v>
      </c>
    </row>
    <row r="356" spans="1:4" x14ac:dyDescent="0.3">
      <c r="A356" s="2" t="s">
        <v>1938</v>
      </c>
      <c r="B356" s="2" t="s">
        <v>1088</v>
      </c>
      <c r="C356" s="2" t="s">
        <v>1588</v>
      </c>
      <c r="D356" s="2">
        <v>2190000</v>
      </c>
    </row>
    <row r="357" spans="1:4" x14ac:dyDescent="0.3">
      <c r="A357" s="2" t="s">
        <v>1939</v>
      </c>
      <c r="B357" s="2" t="s">
        <v>1587</v>
      </c>
      <c r="C357" s="2" t="s">
        <v>1588</v>
      </c>
      <c r="D357" s="2">
        <v>2197500</v>
      </c>
    </row>
    <row r="358" spans="1:4" x14ac:dyDescent="0.3">
      <c r="A358" s="2" t="s">
        <v>1940</v>
      </c>
      <c r="B358" s="2" t="s">
        <v>1082</v>
      </c>
      <c r="C358" s="2" t="s">
        <v>1588</v>
      </c>
      <c r="D358" s="2">
        <v>2205000</v>
      </c>
    </row>
    <row r="359" spans="1:4" x14ac:dyDescent="0.3">
      <c r="A359" s="2" t="s">
        <v>1941</v>
      </c>
      <c r="B359" s="2" t="s">
        <v>1085</v>
      </c>
      <c r="C359" s="2" t="s">
        <v>1588</v>
      </c>
      <c r="D359" s="2">
        <v>2212500</v>
      </c>
    </row>
    <row r="360" spans="1:4" x14ac:dyDescent="0.3">
      <c r="A360" s="2" t="s">
        <v>1942</v>
      </c>
      <c r="B360" s="2" t="s">
        <v>1087</v>
      </c>
      <c r="C360" s="2" t="s">
        <v>1588</v>
      </c>
      <c r="D360" s="2">
        <v>2220000</v>
      </c>
    </row>
    <row r="361" spans="1:4" x14ac:dyDescent="0.3">
      <c r="A361" s="2" t="s">
        <v>1943</v>
      </c>
      <c r="B361" s="2" t="s">
        <v>1088</v>
      </c>
      <c r="C361" s="2" t="s">
        <v>1588</v>
      </c>
      <c r="D361" s="2">
        <v>2227500</v>
      </c>
    </row>
    <row r="362" spans="1:4" x14ac:dyDescent="0.3">
      <c r="A362" s="2" t="s">
        <v>1944</v>
      </c>
      <c r="B362" s="2" t="s">
        <v>1587</v>
      </c>
      <c r="C362" s="2" t="s">
        <v>1588</v>
      </c>
      <c r="D362" s="2">
        <v>2235000</v>
      </c>
    </row>
    <row r="363" spans="1:4" x14ac:dyDescent="0.3">
      <c r="A363" s="2" t="s">
        <v>1945</v>
      </c>
      <c r="B363" s="2" t="s">
        <v>1082</v>
      </c>
      <c r="C363" s="2" t="s">
        <v>1588</v>
      </c>
      <c r="D363" s="2">
        <v>2242500</v>
      </c>
    </row>
    <row r="364" spans="1:4" x14ac:dyDescent="0.3">
      <c r="A364" s="2" t="s">
        <v>1946</v>
      </c>
      <c r="B364" s="2" t="s">
        <v>1085</v>
      </c>
      <c r="C364" s="2" t="s">
        <v>1588</v>
      </c>
      <c r="D364" s="2">
        <v>2250000</v>
      </c>
    </row>
    <row r="365" spans="1:4" x14ac:dyDescent="0.3">
      <c r="A365" s="2" t="s">
        <v>1947</v>
      </c>
      <c r="B365" s="2" t="s">
        <v>1087</v>
      </c>
      <c r="C365" s="2" t="s">
        <v>1588</v>
      </c>
      <c r="D365" s="2">
        <v>2257500</v>
      </c>
    </row>
    <row r="366" spans="1:4" x14ac:dyDescent="0.3">
      <c r="A366" s="2" t="s">
        <v>1948</v>
      </c>
      <c r="B366" s="2" t="s">
        <v>1088</v>
      </c>
      <c r="C366" s="2" t="s">
        <v>1588</v>
      </c>
      <c r="D366" s="2">
        <v>2265000</v>
      </c>
    </row>
    <row r="367" spans="1:4" x14ac:dyDescent="0.3">
      <c r="A367" s="2" t="s">
        <v>1949</v>
      </c>
      <c r="B367" s="2" t="s">
        <v>1587</v>
      </c>
      <c r="C367" s="2" t="s">
        <v>1588</v>
      </c>
      <c r="D367" s="2">
        <v>2272500</v>
      </c>
    </row>
    <row r="368" spans="1:4" x14ac:dyDescent="0.3">
      <c r="A368" s="2" t="s">
        <v>1950</v>
      </c>
      <c r="B368" s="2" t="s">
        <v>1082</v>
      </c>
      <c r="C368" s="2" t="s">
        <v>1588</v>
      </c>
      <c r="D368" s="2">
        <v>2280000</v>
      </c>
    </row>
    <row r="369" spans="1:4" x14ac:dyDescent="0.3">
      <c r="A369" s="2" t="s">
        <v>1951</v>
      </c>
      <c r="B369" s="2" t="s">
        <v>1085</v>
      </c>
      <c r="C369" s="2" t="s">
        <v>1588</v>
      </c>
      <c r="D369" s="2">
        <v>2287500</v>
      </c>
    </row>
    <row r="370" spans="1:4" x14ac:dyDescent="0.3">
      <c r="A370" s="2" t="s">
        <v>1952</v>
      </c>
      <c r="B370" s="2" t="s">
        <v>1087</v>
      </c>
      <c r="C370" s="2" t="s">
        <v>1588</v>
      </c>
      <c r="D370" s="2">
        <v>2295000</v>
      </c>
    </row>
    <row r="371" spans="1:4" x14ac:dyDescent="0.3">
      <c r="A371" s="2" t="s">
        <v>1953</v>
      </c>
      <c r="B371" s="2" t="s">
        <v>1088</v>
      </c>
      <c r="C371" s="2" t="s">
        <v>1588</v>
      </c>
      <c r="D371" s="2">
        <v>2302500</v>
      </c>
    </row>
    <row r="372" spans="1:4" x14ac:dyDescent="0.3">
      <c r="A372" s="2" t="s">
        <v>1954</v>
      </c>
      <c r="B372" s="2" t="s">
        <v>1587</v>
      </c>
      <c r="C372" s="2" t="s">
        <v>1588</v>
      </c>
      <c r="D372" s="2">
        <v>2310000</v>
      </c>
    </row>
    <row r="373" spans="1:4" x14ac:dyDescent="0.3">
      <c r="A373" s="2" t="s">
        <v>1955</v>
      </c>
      <c r="B373" s="2" t="s">
        <v>1082</v>
      </c>
      <c r="C373" s="2" t="s">
        <v>1588</v>
      </c>
      <c r="D373" s="2">
        <v>2317500</v>
      </c>
    </row>
    <row r="374" spans="1:4" x14ac:dyDescent="0.3">
      <c r="A374" s="2" t="s">
        <v>1956</v>
      </c>
      <c r="B374" s="2" t="s">
        <v>1085</v>
      </c>
      <c r="C374" s="2" t="s">
        <v>1588</v>
      </c>
      <c r="D374" s="2">
        <v>2325000</v>
      </c>
    </row>
    <row r="375" spans="1:4" x14ac:dyDescent="0.3">
      <c r="A375" s="2" t="s">
        <v>1957</v>
      </c>
      <c r="B375" s="2" t="s">
        <v>1087</v>
      </c>
      <c r="C375" s="2" t="s">
        <v>1588</v>
      </c>
      <c r="D375" s="2">
        <v>2332500</v>
      </c>
    </row>
    <row r="376" spans="1:4" x14ac:dyDescent="0.3">
      <c r="A376" s="2" t="s">
        <v>1958</v>
      </c>
      <c r="B376" s="2" t="s">
        <v>1088</v>
      </c>
      <c r="C376" s="2" t="s">
        <v>1588</v>
      </c>
      <c r="D376" s="2">
        <v>2340000</v>
      </c>
    </row>
    <row r="377" spans="1:4" x14ac:dyDescent="0.3">
      <c r="A377" s="2" t="s">
        <v>1959</v>
      </c>
      <c r="B377" s="2" t="s">
        <v>1587</v>
      </c>
      <c r="C377" s="2" t="s">
        <v>1588</v>
      </c>
      <c r="D377" s="2">
        <v>2347500</v>
      </c>
    </row>
    <row r="378" spans="1:4" x14ac:dyDescent="0.3">
      <c r="A378" s="2" t="s">
        <v>1960</v>
      </c>
      <c r="B378" s="2" t="s">
        <v>1082</v>
      </c>
      <c r="C378" s="2" t="s">
        <v>1588</v>
      </c>
      <c r="D378" s="2">
        <v>2355000</v>
      </c>
    </row>
    <row r="379" spans="1:4" x14ac:dyDescent="0.3">
      <c r="A379" s="2" t="s">
        <v>1961</v>
      </c>
      <c r="B379" s="2" t="s">
        <v>1085</v>
      </c>
      <c r="C379" s="2" t="s">
        <v>1588</v>
      </c>
      <c r="D379" s="2">
        <v>2362500</v>
      </c>
    </row>
    <row r="380" spans="1:4" x14ac:dyDescent="0.3">
      <c r="A380" s="2" t="s">
        <v>1962</v>
      </c>
      <c r="B380" s="2" t="s">
        <v>1087</v>
      </c>
      <c r="C380" s="2" t="s">
        <v>1588</v>
      </c>
      <c r="D380" s="2">
        <v>2370000</v>
      </c>
    </row>
    <row r="381" spans="1:4" x14ac:dyDescent="0.3">
      <c r="A381" s="2" t="s">
        <v>1963</v>
      </c>
      <c r="B381" s="2" t="s">
        <v>1088</v>
      </c>
      <c r="C381" s="2" t="s">
        <v>1588</v>
      </c>
      <c r="D381" s="2">
        <v>2377500</v>
      </c>
    </row>
    <row r="382" spans="1:4" x14ac:dyDescent="0.3">
      <c r="A382" s="2" t="s">
        <v>1964</v>
      </c>
      <c r="B382" s="2" t="s">
        <v>1587</v>
      </c>
      <c r="C382" s="2" t="s">
        <v>1588</v>
      </c>
      <c r="D382" s="2">
        <v>2385000</v>
      </c>
    </row>
    <row r="383" spans="1:4" x14ac:dyDescent="0.3">
      <c r="A383" s="2" t="s">
        <v>1965</v>
      </c>
      <c r="B383" s="2" t="s">
        <v>1082</v>
      </c>
      <c r="C383" s="2" t="s">
        <v>1588</v>
      </c>
      <c r="D383" s="2">
        <v>2392500</v>
      </c>
    </row>
    <row r="384" spans="1:4" x14ac:dyDescent="0.3">
      <c r="A384" s="2" t="s">
        <v>1966</v>
      </c>
      <c r="B384" s="2" t="s">
        <v>1085</v>
      </c>
      <c r="C384" s="2" t="s">
        <v>1588</v>
      </c>
      <c r="D384" s="2">
        <v>2400000</v>
      </c>
    </row>
    <row r="385" spans="1:4" x14ac:dyDescent="0.3">
      <c r="A385" s="2" t="s">
        <v>1967</v>
      </c>
      <c r="B385" s="2" t="s">
        <v>1087</v>
      </c>
      <c r="C385" s="2" t="s">
        <v>1588</v>
      </c>
      <c r="D385" s="2">
        <v>2407500</v>
      </c>
    </row>
    <row r="386" spans="1:4" x14ac:dyDescent="0.3">
      <c r="A386" s="2" t="s">
        <v>1968</v>
      </c>
      <c r="B386" s="2" t="s">
        <v>1088</v>
      </c>
      <c r="C386" s="2" t="s">
        <v>1588</v>
      </c>
      <c r="D386" s="2">
        <v>2415000</v>
      </c>
    </row>
    <row r="387" spans="1:4" x14ac:dyDescent="0.3">
      <c r="A387" s="2" t="s">
        <v>1969</v>
      </c>
      <c r="B387" s="2" t="s">
        <v>1587</v>
      </c>
      <c r="C387" s="2" t="s">
        <v>1588</v>
      </c>
      <c r="D387" s="2">
        <v>2422500</v>
      </c>
    </row>
    <row r="388" spans="1:4" x14ac:dyDescent="0.3">
      <c r="A388" s="2" t="s">
        <v>1970</v>
      </c>
      <c r="B388" s="2" t="s">
        <v>1082</v>
      </c>
      <c r="C388" s="2" t="s">
        <v>1588</v>
      </c>
      <c r="D388" s="2">
        <v>2430000</v>
      </c>
    </row>
    <row r="389" spans="1:4" x14ac:dyDescent="0.3">
      <c r="A389" s="2" t="s">
        <v>1971</v>
      </c>
      <c r="B389" s="2" t="s">
        <v>1085</v>
      </c>
      <c r="C389" s="2" t="s">
        <v>1588</v>
      </c>
      <c r="D389" s="2">
        <v>2437500</v>
      </c>
    </row>
    <row r="390" spans="1:4" x14ac:dyDescent="0.3">
      <c r="A390" s="2" t="s">
        <v>1972</v>
      </c>
      <c r="B390" s="2" t="s">
        <v>1087</v>
      </c>
      <c r="C390" s="2" t="s">
        <v>1588</v>
      </c>
      <c r="D390" s="2">
        <v>2445000</v>
      </c>
    </row>
    <row r="391" spans="1:4" x14ac:dyDescent="0.3">
      <c r="A391" s="2" t="s">
        <v>1973</v>
      </c>
      <c r="B391" s="2" t="s">
        <v>1088</v>
      </c>
      <c r="C391" s="2" t="s">
        <v>1588</v>
      </c>
      <c r="D391" s="2">
        <v>2452500</v>
      </c>
    </row>
    <row r="392" spans="1:4" x14ac:dyDescent="0.3">
      <c r="A392" s="2" t="s">
        <v>1974</v>
      </c>
      <c r="B392" s="2" t="s">
        <v>1587</v>
      </c>
      <c r="C392" s="2" t="s">
        <v>1588</v>
      </c>
      <c r="D392" s="2">
        <v>2460000</v>
      </c>
    </row>
    <row r="393" spans="1:4" x14ac:dyDescent="0.3">
      <c r="A393" s="2" t="s">
        <v>1975</v>
      </c>
      <c r="B393" s="2" t="s">
        <v>1082</v>
      </c>
      <c r="C393" s="2" t="s">
        <v>1588</v>
      </c>
      <c r="D393" s="2">
        <v>2467500</v>
      </c>
    </row>
    <row r="394" spans="1:4" x14ac:dyDescent="0.3">
      <c r="A394" s="2" t="s">
        <v>1976</v>
      </c>
      <c r="B394" s="2" t="s">
        <v>1085</v>
      </c>
      <c r="C394" s="2" t="s">
        <v>1588</v>
      </c>
      <c r="D394" s="2">
        <v>2475000</v>
      </c>
    </row>
    <row r="395" spans="1:4" x14ac:dyDescent="0.3">
      <c r="A395" s="2" t="s">
        <v>1977</v>
      </c>
      <c r="B395" s="2" t="s">
        <v>1087</v>
      </c>
      <c r="C395" s="2" t="s">
        <v>1588</v>
      </c>
      <c r="D395" s="2">
        <v>2482500</v>
      </c>
    </row>
    <row r="396" spans="1:4" x14ac:dyDescent="0.3">
      <c r="A396" s="2" t="s">
        <v>1978</v>
      </c>
      <c r="B396" s="2" t="s">
        <v>1088</v>
      </c>
      <c r="C396" s="2" t="s">
        <v>1588</v>
      </c>
      <c r="D396" s="2">
        <v>2490000</v>
      </c>
    </row>
    <row r="397" spans="1:4" x14ac:dyDescent="0.3">
      <c r="A397" s="2" t="s">
        <v>1979</v>
      </c>
      <c r="B397" s="2" t="s">
        <v>1587</v>
      </c>
      <c r="C397" s="2" t="s">
        <v>1588</v>
      </c>
      <c r="D397" s="2">
        <v>2497500</v>
      </c>
    </row>
    <row r="398" spans="1:4" x14ac:dyDescent="0.3">
      <c r="A398" s="2" t="s">
        <v>1980</v>
      </c>
      <c r="B398" s="2" t="s">
        <v>1082</v>
      </c>
      <c r="C398" s="2" t="s">
        <v>1588</v>
      </c>
      <c r="D398" s="2">
        <v>2505000</v>
      </c>
    </row>
    <row r="399" spans="1:4" x14ac:dyDescent="0.3">
      <c r="A399" s="2" t="s">
        <v>1981</v>
      </c>
      <c r="B399" s="2" t="s">
        <v>1085</v>
      </c>
      <c r="C399" s="2" t="s">
        <v>1588</v>
      </c>
      <c r="D399" s="2">
        <v>2512500</v>
      </c>
    </row>
    <row r="400" spans="1:4" x14ac:dyDescent="0.3">
      <c r="A400" s="2" t="s">
        <v>1982</v>
      </c>
      <c r="B400" s="2" t="s">
        <v>1087</v>
      </c>
      <c r="C400" s="2" t="s">
        <v>1588</v>
      </c>
      <c r="D400" s="2">
        <v>2520000</v>
      </c>
    </row>
    <row r="401" spans="1:4" x14ac:dyDescent="0.3">
      <c r="A401" s="2" t="s">
        <v>1983</v>
      </c>
      <c r="B401" s="2" t="s">
        <v>1088</v>
      </c>
      <c r="C401" s="2" t="s">
        <v>1588</v>
      </c>
      <c r="D401" s="2">
        <v>2527500</v>
      </c>
    </row>
    <row r="402" spans="1:4" x14ac:dyDescent="0.3">
      <c r="A402" s="2" t="s">
        <v>1984</v>
      </c>
      <c r="B402" s="2" t="s">
        <v>1587</v>
      </c>
      <c r="C402" s="2" t="s">
        <v>1588</v>
      </c>
      <c r="D402" s="2">
        <v>2535000</v>
      </c>
    </row>
    <row r="403" spans="1:4" x14ac:dyDescent="0.3">
      <c r="A403" s="2" t="s">
        <v>1985</v>
      </c>
      <c r="B403" s="2" t="s">
        <v>1082</v>
      </c>
      <c r="C403" s="2" t="s">
        <v>1588</v>
      </c>
      <c r="D403" s="2">
        <v>2542500</v>
      </c>
    </row>
    <row r="404" spans="1:4" x14ac:dyDescent="0.3">
      <c r="A404" s="2" t="s">
        <v>1986</v>
      </c>
      <c r="B404" s="2" t="s">
        <v>1085</v>
      </c>
      <c r="C404" s="2" t="s">
        <v>1588</v>
      </c>
      <c r="D404" s="2">
        <v>2550000</v>
      </c>
    </row>
    <row r="405" spans="1:4" x14ac:dyDescent="0.3">
      <c r="A405" s="2" t="s">
        <v>1987</v>
      </c>
      <c r="B405" s="2" t="s">
        <v>1087</v>
      </c>
      <c r="C405" s="2" t="s">
        <v>1588</v>
      </c>
      <c r="D405" s="2">
        <v>2557500</v>
      </c>
    </row>
    <row r="406" spans="1:4" x14ac:dyDescent="0.3">
      <c r="A406" s="2" t="s">
        <v>1988</v>
      </c>
      <c r="B406" s="2" t="s">
        <v>1088</v>
      </c>
      <c r="C406" s="2" t="s">
        <v>1588</v>
      </c>
      <c r="D406" s="2">
        <v>2565000</v>
      </c>
    </row>
    <row r="407" spans="1:4" x14ac:dyDescent="0.3">
      <c r="A407" s="2" t="s">
        <v>1989</v>
      </c>
      <c r="B407" s="2" t="s">
        <v>1587</v>
      </c>
      <c r="C407" s="2" t="s">
        <v>1588</v>
      </c>
      <c r="D407" s="2">
        <v>2572500</v>
      </c>
    </row>
    <row r="408" spans="1:4" x14ac:dyDescent="0.3">
      <c r="A408" s="2" t="s">
        <v>1990</v>
      </c>
      <c r="B408" s="2" t="s">
        <v>1082</v>
      </c>
      <c r="C408" s="2" t="s">
        <v>1588</v>
      </c>
      <c r="D408" s="2">
        <v>2580000</v>
      </c>
    </row>
    <row r="409" spans="1:4" x14ac:dyDescent="0.3">
      <c r="A409" s="2" t="s">
        <v>1991</v>
      </c>
      <c r="B409" s="2" t="s">
        <v>1085</v>
      </c>
      <c r="C409" s="2" t="s">
        <v>1588</v>
      </c>
      <c r="D409" s="2">
        <v>2587500</v>
      </c>
    </row>
    <row r="410" spans="1:4" x14ac:dyDescent="0.3">
      <c r="A410" s="2" t="s">
        <v>1992</v>
      </c>
      <c r="B410" s="2" t="s">
        <v>1087</v>
      </c>
      <c r="C410" s="2" t="s">
        <v>1588</v>
      </c>
      <c r="D410" s="2">
        <v>2595000</v>
      </c>
    </row>
    <row r="411" spans="1:4" x14ac:dyDescent="0.3">
      <c r="A411" s="2" t="s">
        <v>1993</v>
      </c>
      <c r="B411" s="2" t="s">
        <v>1088</v>
      </c>
      <c r="C411" s="2" t="s">
        <v>1588</v>
      </c>
      <c r="D411" s="2">
        <v>2602500</v>
      </c>
    </row>
    <row r="412" spans="1:4" x14ac:dyDescent="0.3">
      <c r="A412" s="2" t="s">
        <v>1994</v>
      </c>
      <c r="B412" s="2" t="s">
        <v>1587</v>
      </c>
      <c r="C412" s="2" t="s">
        <v>1588</v>
      </c>
      <c r="D412" s="2">
        <v>2610000</v>
      </c>
    </row>
    <row r="413" spans="1:4" x14ac:dyDescent="0.3">
      <c r="A413" s="2" t="s">
        <v>1995</v>
      </c>
      <c r="B413" s="2" t="s">
        <v>1082</v>
      </c>
      <c r="C413" s="2" t="s">
        <v>1588</v>
      </c>
      <c r="D413" s="2">
        <v>2617500</v>
      </c>
    </row>
    <row r="414" spans="1:4" x14ac:dyDescent="0.3">
      <c r="A414" s="2" t="s">
        <v>1996</v>
      </c>
      <c r="B414" s="2" t="s">
        <v>1085</v>
      </c>
      <c r="C414" s="2" t="s">
        <v>1588</v>
      </c>
      <c r="D414" s="2">
        <v>2625000</v>
      </c>
    </row>
    <row r="415" spans="1:4" x14ac:dyDescent="0.3">
      <c r="A415" s="2" t="s">
        <v>1997</v>
      </c>
      <c r="B415" s="2" t="s">
        <v>1087</v>
      </c>
      <c r="C415" s="2" t="s">
        <v>1588</v>
      </c>
      <c r="D415" s="2">
        <v>2632500</v>
      </c>
    </row>
    <row r="416" spans="1:4" x14ac:dyDescent="0.3">
      <c r="A416" s="2" t="s">
        <v>1998</v>
      </c>
      <c r="B416" s="2" t="s">
        <v>1088</v>
      </c>
      <c r="C416" s="2" t="s">
        <v>1588</v>
      </c>
      <c r="D416" s="2">
        <v>2640000</v>
      </c>
    </row>
    <row r="417" spans="1:4" x14ac:dyDescent="0.3">
      <c r="A417" s="2" t="s">
        <v>1999</v>
      </c>
      <c r="B417" s="2" t="s">
        <v>1587</v>
      </c>
      <c r="C417" s="2" t="s">
        <v>1588</v>
      </c>
      <c r="D417" s="2">
        <v>2647500</v>
      </c>
    </row>
    <row r="418" spans="1:4" x14ac:dyDescent="0.3">
      <c r="A418" s="2" t="s">
        <v>2000</v>
      </c>
      <c r="B418" s="2" t="s">
        <v>1082</v>
      </c>
      <c r="C418" s="2" t="s">
        <v>1588</v>
      </c>
      <c r="D418" s="2">
        <v>2655000</v>
      </c>
    </row>
    <row r="419" spans="1:4" x14ac:dyDescent="0.3">
      <c r="A419" s="2" t="s">
        <v>2001</v>
      </c>
      <c r="B419" s="2" t="s">
        <v>1085</v>
      </c>
      <c r="C419" s="2" t="s">
        <v>1588</v>
      </c>
      <c r="D419" s="2">
        <v>2662500</v>
      </c>
    </row>
    <row r="420" spans="1:4" x14ac:dyDescent="0.3">
      <c r="A420" s="2" t="s">
        <v>2002</v>
      </c>
      <c r="B420" s="2" t="s">
        <v>1087</v>
      </c>
      <c r="C420" s="2" t="s">
        <v>1588</v>
      </c>
      <c r="D420" s="2">
        <v>2670000</v>
      </c>
    </row>
    <row r="421" spans="1:4" x14ac:dyDescent="0.3">
      <c r="A421" s="2" t="s">
        <v>2003</v>
      </c>
      <c r="B421" s="2" t="s">
        <v>1088</v>
      </c>
      <c r="C421" s="2" t="s">
        <v>1588</v>
      </c>
      <c r="D421" s="2">
        <v>2677500</v>
      </c>
    </row>
    <row r="422" spans="1:4" x14ac:dyDescent="0.3">
      <c r="A422" s="2" t="s">
        <v>2004</v>
      </c>
      <c r="B422" s="2" t="s">
        <v>1587</v>
      </c>
      <c r="C422" s="2" t="s">
        <v>1588</v>
      </c>
      <c r="D422" s="2">
        <v>2685000</v>
      </c>
    </row>
    <row r="423" spans="1:4" x14ac:dyDescent="0.3">
      <c r="A423" s="2" t="s">
        <v>2005</v>
      </c>
      <c r="B423" s="2" t="s">
        <v>1082</v>
      </c>
      <c r="C423" s="2" t="s">
        <v>1588</v>
      </c>
      <c r="D423" s="2">
        <v>2692500</v>
      </c>
    </row>
    <row r="424" spans="1:4" x14ac:dyDescent="0.3">
      <c r="A424" s="2" t="s">
        <v>2006</v>
      </c>
      <c r="B424" s="2" t="s">
        <v>1085</v>
      </c>
      <c r="C424" s="2" t="s">
        <v>1588</v>
      </c>
      <c r="D424" s="2">
        <v>2700000</v>
      </c>
    </row>
    <row r="425" spans="1:4" x14ac:dyDescent="0.3">
      <c r="A425" s="2" t="s">
        <v>2007</v>
      </c>
      <c r="B425" s="2" t="s">
        <v>1087</v>
      </c>
      <c r="C425" s="2" t="s">
        <v>1588</v>
      </c>
      <c r="D425" s="2">
        <v>2707500</v>
      </c>
    </row>
    <row r="426" spans="1:4" x14ac:dyDescent="0.3">
      <c r="A426" s="2" t="s">
        <v>2008</v>
      </c>
      <c r="B426" s="2" t="s">
        <v>1088</v>
      </c>
      <c r="C426" s="2" t="s">
        <v>1588</v>
      </c>
      <c r="D426" s="2">
        <v>2715000</v>
      </c>
    </row>
    <row r="427" spans="1:4" x14ac:dyDescent="0.3">
      <c r="A427" s="2" t="s">
        <v>2009</v>
      </c>
      <c r="B427" s="2" t="s">
        <v>1587</v>
      </c>
      <c r="C427" s="2" t="s">
        <v>1588</v>
      </c>
      <c r="D427" s="2">
        <v>2722500</v>
      </c>
    </row>
    <row r="428" spans="1:4" x14ac:dyDescent="0.3">
      <c r="A428" s="2" t="s">
        <v>2010</v>
      </c>
      <c r="B428" s="2" t="s">
        <v>1082</v>
      </c>
      <c r="C428" s="2" t="s">
        <v>1588</v>
      </c>
      <c r="D428" s="2">
        <v>2730000</v>
      </c>
    </row>
    <row r="429" spans="1:4" x14ac:dyDescent="0.3">
      <c r="A429" s="2" t="s">
        <v>2011</v>
      </c>
      <c r="B429" s="2" t="s">
        <v>1085</v>
      </c>
      <c r="C429" s="2" t="s">
        <v>1588</v>
      </c>
      <c r="D429" s="2">
        <v>2737500</v>
      </c>
    </row>
    <row r="430" spans="1:4" x14ac:dyDescent="0.3">
      <c r="A430" s="2" t="s">
        <v>2012</v>
      </c>
      <c r="B430" s="2" t="s">
        <v>1087</v>
      </c>
      <c r="C430" s="2" t="s">
        <v>1588</v>
      </c>
      <c r="D430" s="2">
        <v>2745000</v>
      </c>
    </row>
    <row r="431" spans="1:4" x14ac:dyDescent="0.3">
      <c r="A431" s="2" t="s">
        <v>2013</v>
      </c>
      <c r="B431" s="2" t="s">
        <v>1088</v>
      </c>
      <c r="C431" s="2" t="s">
        <v>1588</v>
      </c>
      <c r="D431" s="2">
        <v>2752500</v>
      </c>
    </row>
    <row r="432" spans="1:4" x14ac:dyDescent="0.3">
      <c r="A432" s="2" t="s">
        <v>2014</v>
      </c>
      <c r="B432" s="2" t="s">
        <v>1587</v>
      </c>
      <c r="C432" s="2" t="s">
        <v>1588</v>
      </c>
      <c r="D432" s="2">
        <v>2760000</v>
      </c>
    </row>
    <row r="433" spans="1:4" x14ac:dyDescent="0.3">
      <c r="A433" s="2" t="s">
        <v>2015</v>
      </c>
      <c r="B433" s="2" t="s">
        <v>1082</v>
      </c>
      <c r="C433" s="2" t="s">
        <v>1588</v>
      </c>
      <c r="D433" s="2">
        <v>2767500</v>
      </c>
    </row>
    <row r="434" spans="1:4" x14ac:dyDescent="0.3">
      <c r="A434" s="2" t="s">
        <v>2016</v>
      </c>
      <c r="B434" s="2" t="s">
        <v>1085</v>
      </c>
      <c r="C434" s="2" t="s">
        <v>1588</v>
      </c>
      <c r="D434" s="2">
        <v>2775000</v>
      </c>
    </row>
    <row r="435" spans="1:4" x14ac:dyDescent="0.3">
      <c r="A435" s="2" t="s">
        <v>2017</v>
      </c>
      <c r="B435" s="2" t="s">
        <v>1087</v>
      </c>
      <c r="C435" s="2" t="s">
        <v>1588</v>
      </c>
      <c r="D435" s="2">
        <v>2782500</v>
      </c>
    </row>
    <row r="436" spans="1:4" x14ac:dyDescent="0.3">
      <c r="A436" s="2" t="s">
        <v>2018</v>
      </c>
      <c r="B436" s="2" t="s">
        <v>1088</v>
      </c>
      <c r="C436" s="2" t="s">
        <v>1588</v>
      </c>
      <c r="D436" s="2">
        <v>2790000</v>
      </c>
    </row>
    <row r="437" spans="1:4" x14ac:dyDescent="0.3">
      <c r="A437" s="2" t="s">
        <v>2019</v>
      </c>
      <c r="B437" s="2" t="s">
        <v>1587</v>
      </c>
      <c r="C437" s="2" t="s">
        <v>1588</v>
      </c>
      <c r="D437" s="2">
        <v>2797500</v>
      </c>
    </row>
    <row r="438" spans="1:4" x14ac:dyDescent="0.3">
      <c r="A438" s="2" t="s">
        <v>2020</v>
      </c>
      <c r="B438" s="2" t="s">
        <v>1082</v>
      </c>
      <c r="C438" s="2" t="s">
        <v>1588</v>
      </c>
      <c r="D438" s="2">
        <v>2805000</v>
      </c>
    </row>
    <row r="439" spans="1:4" x14ac:dyDescent="0.3">
      <c r="A439" s="2" t="s">
        <v>2021</v>
      </c>
      <c r="B439" s="2" t="s">
        <v>1085</v>
      </c>
      <c r="C439" s="2" t="s">
        <v>1588</v>
      </c>
      <c r="D439" s="2">
        <v>2812500</v>
      </c>
    </row>
    <row r="440" spans="1:4" x14ac:dyDescent="0.3">
      <c r="A440" s="2" t="s">
        <v>2022</v>
      </c>
      <c r="B440" s="2" t="s">
        <v>1087</v>
      </c>
      <c r="C440" s="2" t="s">
        <v>1588</v>
      </c>
      <c r="D440" s="2">
        <v>2820000</v>
      </c>
    </row>
    <row r="441" spans="1:4" x14ac:dyDescent="0.3">
      <c r="A441" s="2" t="s">
        <v>2023</v>
      </c>
      <c r="B441" s="2" t="s">
        <v>1088</v>
      </c>
      <c r="C441" s="2" t="s">
        <v>1588</v>
      </c>
      <c r="D441" s="2">
        <v>2827500</v>
      </c>
    </row>
    <row r="442" spans="1:4" x14ac:dyDescent="0.3">
      <c r="A442" s="2" t="s">
        <v>2024</v>
      </c>
      <c r="B442" s="2" t="s">
        <v>1587</v>
      </c>
      <c r="C442" s="2" t="s">
        <v>1588</v>
      </c>
      <c r="D442" s="2">
        <v>2835000</v>
      </c>
    </row>
    <row r="443" spans="1:4" x14ac:dyDescent="0.3">
      <c r="A443" s="2" t="s">
        <v>2025</v>
      </c>
      <c r="B443" s="2" t="s">
        <v>1082</v>
      </c>
      <c r="C443" s="2" t="s">
        <v>1588</v>
      </c>
      <c r="D443" s="2">
        <v>2842500</v>
      </c>
    </row>
    <row r="444" spans="1:4" x14ac:dyDescent="0.3">
      <c r="A444" s="2" t="s">
        <v>2026</v>
      </c>
      <c r="B444" s="2" t="s">
        <v>1085</v>
      </c>
      <c r="C444" s="2" t="s">
        <v>1588</v>
      </c>
      <c r="D444" s="2">
        <v>2850000</v>
      </c>
    </row>
    <row r="445" spans="1:4" x14ac:dyDescent="0.3">
      <c r="A445" s="2" t="s">
        <v>2027</v>
      </c>
      <c r="B445" s="2" t="s">
        <v>1087</v>
      </c>
      <c r="C445" s="2" t="s">
        <v>1588</v>
      </c>
      <c r="D445" s="2">
        <v>2857500</v>
      </c>
    </row>
    <row r="446" spans="1:4" x14ac:dyDescent="0.3">
      <c r="A446" s="2" t="s">
        <v>2028</v>
      </c>
      <c r="B446" s="2" t="s">
        <v>1088</v>
      </c>
      <c r="C446" s="2" t="s">
        <v>1588</v>
      </c>
      <c r="D446" s="2">
        <v>2865000</v>
      </c>
    </row>
    <row r="447" spans="1:4" x14ac:dyDescent="0.3">
      <c r="A447" s="2" t="s">
        <v>2029</v>
      </c>
      <c r="B447" s="2" t="s">
        <v>1587</v>
      </c>
      <c r="C447" s="2" t="s">
        <v>1588</v>
      </c>
      <c r="D447" s="2">
        <v>2872500</v>
      </c>
    </row>
    <row r="448" spans="1:4" x14ac:dyDescent="0.3">
      <c r="A448" s="2" t="s">
        <v>2030</v>
      </c>
      <c r="B448" s="2" t="s">
        <v>1082</v>
      </c>
      <c r="C448" s="2" t="s">
        <v>1588</v>
      </c>
      <c r="D448" s="2">
        <v>2880000</v>
      </c>
    </row>
    <row r="449" spans="1:4" x14ac:dyDescent="0.3">
      <c r="A449" s="2" t="s">
        <v>2031</v>
      </c>
      <c r="B449" s="2" t="s">
        <v>1085</v>
      </c>
      <c r="C449" s="2" t="s">
        <v>1588</v>
      </c>
      <c r="D449" s="2">
        <v>2887500</v>
      </c>
    </row>
    <row r="450" spans="1:4" x14ac:dyDescent="0.3">
      <c r="A450" s="2" t="s">
        <v>2032</v>
      </c>
      <c r="B450" s="2" t="s">
        <v>1087</v>
      </c>
      <c r="C450" s="2" t="s">
        <v>1588</v>
      </c>
      <c r="D450" s="2">
        <v>2895000</v>
      </c>
    </row>
    <row r="451" spans="1:4" x14ac:dyDescent="0.3">
      <c r="A451" s="2" t="s">
        <v>2033</v>
      </c>
      <c r="B451" s="2" t="s">
        <v>1088</v>
      </c>
      <c r="C451" s="2" t="s">
        <v>1588</v>
      </c>
      <c r="D451" s="2">
        <v>2902500</v>
      </c>
    </row>
    <row r="452" spans="1:4" x14ac:dyDescent="0.3">
      <c r="A452" s="2" t="s">
        <v>2034</v>
      </c>
      <c r="B452" s="2" t="s">
        <v>1587</v>
      </c>
      <c r="C452" s="2" t="s">
        <v>1588</v>
      </c>
      <c r="D452" s="2">
        <v>2910000</v>
      </c>
    </row>
    <row r="453" spans="1:4" x14ac:dyDescent="0.3">
      <c r="A453" s="2" t="s">
        <v>2035</v>
      </c>
      <c r="B453" s="2" t="s">
        <v>1082</v>
      </c>
      <c r="C453" s="2" t="s">
        <v>1588</v>
      </c>
      <c r="D453" s="2">
        <v>2917500</v>
      </c>
    </row>
    <row r="454" spans="1:4" x14ac:dyDescent="0.3">
      <c r="A454" s="2" t="s">
        <v>2036</v>
      </c>
      <c r="B454" s="2" t="s">
        <v>1085</v>
      </c>
      <c r="C454" s="2" t="s">
        <v>1588</v>
      </c>
      <c r="D454" s="2">
        <v>2925000</v>
      </c>
    </row>
    <row r="455" spans="1:4" x14ac:dyDescent="0.3">
      <c r="A455" s="2" t="s">
        <v>2037</v>
      </c>
      <c r="B455" s="2" t="s">
        <v>1087</v>
      </c>
      <c r="C455" s="2" t="s">
        <v>1588</v>
      </c>
      <c r="D455" s="2">
        <v>2932500</v>
      </c>
    </row>
    <row r="456" spans="1:4" x14ac:dyDescent="0.3">
      <c r="A456" s="2" t="s">
        <v>2038</v>
      </c>
      <c r="B456" s="2" t="s">
        <v>1088</v>
      </c>
      <c r="C456" s="2" t="s">
        <v>1588</v>
      </c>
      <c r="D456" s="2">
        <v>2940000</v>
      </c>
    </row>
    <row r="457" spans="1:4" x14ac:dyDescent="0.3">
      <c r="A457" s="2" t="s">
        <v>2039</v>
      </c>
      <c r="B457" s="2" t="s">
        <v>1587</v>
      </c>
      <c r="C457" s="2" t="s">
        <v>1588</v>
      </c>
      <c r="D457" s="2">
        <v>2947500</v>
      </c>
    </row>
    <row r="458" spans="1:4" x14ac:dyDescent="0.3">
      <c r="A458" s="2" t="s">
        <v>2040</v>
      </c>
      <c r="B458" s="2" t="s">
        <v>1082</v>
      </c>
      <c r="C458" s="2" t="s">
        <v>1588</v>
      </c>
      <c r="D458" s="2">
        <v>2955000</v>
      </c>
    </row>
    <row r="459" spans="1:4" x14ac:dyDescent="0.3">
      <c r="A459" s="2" t="s">
        <v>2041</v>
      </c>
      <c r="B459" s="2" t="s">
        <v>1085</v>
      </c>
      <c r="C459" s="2" t="s">
        <v>1588</v>
      </c>
      <c r="D459" s="2">
        <v>2962500</v>
      </c>
    </row>
    <row r="460" spans="1:4" x14ac:dyDescent="0.3">
      <c r="A460" s="2" t="s">
        <v>2042</v>
      </c>
      <c r="B460" s="2" t="s">
        <v>1087</v>
      </c>
      <c r="C460" s="2" t="s">
        <v>1588</v>
      </c>
      <c r="D460" s="2">
        <v>2970000</v>
      </c>
    </row>
    <row r="461" spans="1:4" x14ac:dyDescent="0.3">
      <c r="A461" s="2" t="s">
        <v>2043</v>
      </c>
      <c r="B461" s="2" t="s">
        <v>1088</v>
      </c>
      <c r="C461" s="2" t="s">
        <v>1588</v>
      </c>
      <c r="D461" s="2">
        <v>2977500</v>
      </c>
    </row>
    <row r="462" spans="1:4" x14ac:dyDescent="0.3">
      <c r="A462" s="2" t="s">
        <v>2044</v>
      </c>
      <c r="B462" s="2" t="s">
        <v>1587</v>
      </c>
      <c r="C462" s="2" t="s">
        <v>1588</v>
      </c>
      <c r="D462" s="2">
        <v>2985000</v>
      </c>
    </row>
    <row r="463" spans="1:4" x14ac:dyDescent="0.3">
      <c r="A463" s="2" t="s">
        <v>2045</v>
      </c>
      <c r="B463" s="2" t="s">
        <v>1082</v>
      </c>
      <c r="C463" s="2" t="s">
        <v>1588</v>
      </c>
      <c r="D463" s="2">
        <v>2992500</v>
      </c>
    </row>
    <row r="464" spans="1:4" x14ac:dyDescent="0.3">
      <c r="A464" s="2" t="s">
        <v>2046</v>
      </c>
      <c r="B464" s="2" t="s">
        <v>1085</v>
      </c>
      <c r="C464" s="2" t="s">
        <v>1588</v>
      </c>
      <c r="D464" s="2">
        <v>3000000</v>
      </c>
    </row>
    <row r="465" spans="1:4" x14ac:dyDescent="0.3">
      <c r="A465" s="2" t="s">
        <v>2047</v>
      </c>
      <c r="B465" s="2" t="s">
        <v>1087</v>
      </c>
      <c r="C465" s="2" t="s">
        <v>1588</v>
      </c>
      <c r="D465" s="2">
        <v>3007500</v>
      </c>
    </row>
    <row r="466" spans="1:4" x14ac:dyDescent="0.3">
      <c r="A466" s="2" t="s">
        <v>2048</v>
      </c>
      <c r="B466" s="2" t="s">
        <v>1088</v>
      </c>
      <c r="C466" s="2" t="s">
        <v>1588</v>
      </c>
      <c r="D466" s="2">
        <v>3015000</v>
      </c>
    </row>
    <row r="467" spans="1:4" x14ac:dyDescent="0.3">
      <c r="A467" s="2" t="s">
        <v>2049</v>
      </c>
      <c r="B467" s="2" t="s">
        <v>1587</v>
      </c>
      <c r="C467" s="2" t="s">
        <v>1588</v>
      </c>
      <c r="D467" s="2">
        <v>3022500</v>
      </c>
    </row>
    <row r="468" spans="1:4" x14ac:dyDescent="0.3">
      <c r="A468" s="2" t="s">
        <v>2050</v>
      </c>
      <c r="B468" s="2" t="s">
        <v>1082</v>
      </c>
      <c r="C468" s="2" t="s">
        <v>1588</v>
      </c>
      <c r="D468" s="2">
        <v>3030000</v>
      </c>
    </row>
    <row r="469" spans="1:4" x14ac:dyDescent="0.3">
      <c r="A469" s="2" t="s">
        <v>2051</v>
      </c>
      <c r="B469" s="2" t="s">
        <v>1085</v>
      </c>
      <c r="C469" s="2" t="s">
        <v>1588</v>
      </c>
      <c r="D469" s="2">
        <v>3037500</v>
      </c>
    </row>
    <row r="470" spans="1:4" x14ac:dyDescent="0.3">
      <c r="A470" s="2" t="s">
        <v>2052</v>
      </c>
      <c r="B470" s="2" t="s">
        <v>1087</v>
      </c>
      <c r="C470" s="2" t="s">
        <v>1588</v>
      </c>
      <c r="D470" s="2">
        <v>3045000</v>
      </c>
    </row>
    <row r="471" spans="1:4" x14ac:dyDescent="0.3">
      <c r="A471" s="2" t="s">
        <v>2053</v>
      </c>
      <c r="B471" s="2" t="s">
        <v>1088</v>
      </c>
      <c r="C471" s="2" t="s">
        <v>1588</v>
      </c>
      <c r="D471" s="2">
        <v>3052500</v>
      </c>
    </row>
    <row r="472" spans="1:4" x14ac:dyDescent="0.3">
      <c r="A472" s="2" t="s">
        <v>2054</v>
      </c>
      <c r="B472" s="2" t="s">
        <v>1587</v>
      </c>
      <c r="C472" s="2" t="s">
        <v>1588</v>
      </c>
      <c r="D472" s="2">
        <v>3060000</v>
      </c>
    </row>
    <row r="473" spans="1:4" x14ac:dyDescent="0.3">
      <c r="A473" s="2" t="s">
        <v>2055</v>
      </c>
      <c r="B473" s="2" t="s">
        <v>1082</v>
      </c>
      <c r="C473" s="2" t="s">
        <v>1588</v>
      </c>
      <c r="D473" s="2">
        <v>3067500</v>
      </c>
    </row>
    <row r="474" spans="1:4" x14ac:dyDescent="0.3">
      <c r="A474" s="2" t="s">
        <v>2056</v>
      </c>
      <c r="B474" s="2" t="s">
        <v>1085</v>
      </c>
      <c r="C474" s="2" t="s">
        <v>1588</v>
      </c>
      <c r="D474" s="2">
        <v>3075000</v>
      </c>
    </row>
    <row r="475" spans="1:4" x14ac:dyDescent="0.3">
      <c r="A475" s="2" t="s">
        <v>2057</v>
      </c>
      <c r="B475" s="2" t="s">
        <v>1087</v>
      </c>
      <c r="C475" s="2" t="s">
        <v>1588</v>
      </c>
      <c r="D475" s="2">
        <v>3082500</v>
      </c>
    </row>
    <row r="476" spans="1:4" x14ac:dyDescent="0.3">
      <c r="A476" s="2" t="s">
        <v>2058</v>
      </c>
      <c r="B476" s="2" t="s">
        <v>1088</v>
      </c>
      <c r="C476" s="2" t="s">
        <v>1588</v>
      </c>
      <c r="D476" s="2">
        <v>3090000</v>
      </c>
    </row>
    <row r="477" spans="1:4" x14ac:dyDescent="0.3">
      <c r="A477" s="2" t="s">
        <v>2059</v>
      </c>
      <c r="B477" s="2" t="s">
        <v>1587</v>
      </c>
      <c r="C477" s="2" t="s">
        <v>1588</v>
      </c>
      <c r="D477" s="2">
        <v>3097500</v>
      </c>
    </row>
    <row r="478" spans="1:4" x14ac:dyDescent="0.3">
      <c r="A478" s="2" t="s">
        <v>2060</v>
      </c>
      <c r="B478" s="2" t="s">
        <v>1082</v>
      </c>
      <c r="C478" s="2" t="s">
        <v>1588</v>
      </c>
      <c r="D478" s="2">
        <v>3105000</v>
      </c>
    </row>
    <row r="479" spans="1:4" x14ac:dyDescent="0.3">
      <c r="A479" s="2" t="s">
        <v>2061</v>
      </c>
      <c r="B479" s="2" t="s">
        <v>1085</v>
      </c>
      <c r="C479" s="2" t="s">
        <v>1588</v>
      </c>
      <c r="D479" s="2">
        <v>3112500</v>
      </c>
    </row>
    <row r="480" spans="1:4" x14ac:dyDescent="0.3">
      <c r="A480" s="2" t="s">
        <v>2062</v>
      </c>
      <c r="B480" s="2" t="s">
        <v>1087</v>
      </c>
      <c r="C480" s="2" t="s">
        <v>1588</v>
      </c>
      <c r="D480" s="2">
        <v>3120000</v>
      </c>
    </row>
    <row r="481" spans="1:4" x14ac:dyDescent="0.3">
      <c r="A481" s="2" t="s">
        <v>2063</v>
      </c>
      <c r="B481" s="2" t="s">
        <v>1088</v>
      </c>
      <c r="C481" s="2" t="s">
        <v>1588</v>
      </c>
      <c r="D481" s="2">
        <v>3127500</v>
      </c>
    </row>
    <row r="482" spans="1:4" x14ac:dyDescent="0.3">
      <c r="A482" s="2" t="s">
        <v>2064</v>
      </c>
      <c r="B482" s="2" t="s">
        <v>1587</v>
      </c>
      <c r="C482" s="2" t="s">
        <v>1588</v>
      </c>
      <c r="D482" s="2">
        <v>3135000</v>
      </c>
    </row>
    <row r="483" spans="1:4" x14ac:dyDescent="0.3">
      <c r="A483" s="2" t="s">
        <v>2065</v>
      </c>
      <c r="B483" s="2" t="s">
        <v>1082</v>
      </c>
      <c r="C483" s="2" t="s">
        <v>1588</v>
      </c>
      <c r="D483" s="2">
        <v>3142500</v>
      </c>
    </row>
    <row r="484" spans="1:4" x14ac:dyDescent="0.3">
      <c r="A484" s="2" t="s">
        <v>2066</v>
      </c>
      <c r="B484" s="2" t="s">
        <v>1085</v>
      </c>
      <c r="C484" s="2" t="s">
        <v>1588</v>
      </c>
      <c r="D484" s="2">
        <v>3150000</v>
      </c>
    </row>
    <row r="485" spans="1:4" x14ac:dyDescent="0.3">
      <c r="A485" s="2" t="s">
        <v>2067</v>
      </c>
      <c r="B485" s="2" t="s">
        <v>1087</v>
      </c>
      <c r="C485" s="2" t="s">
        <v>1588</v>
      </c>
      <c r="D485" s="2">
        <v>3157500</v>
      </c>
    </row>
    <row r="486" spans="1:4" x14ac:dyDescent="0.3">
      <c r="A486" s="2" t="s">
        <v>2068</v>
      </c>
      <c r="B486" s="2" t="s">
        <v>1088</v>
      </c>
      <c r="C486" s="2" t="s">
        <v>1588</v>
      </c>
      <c r="D486" s="2">
        <v>3165000</v>
      </c>
    </row>
    <row r="487" spans="1:4" x14ac:dyDescent="0.3">
      <c r="A487" s="2" t="s">
        <v>2069</v>
      </c>
      <c r="B487" s="2" t="s">
        <v>1587</v>
      </c>
      <c r="C487" s="2" t="s">
        <v>1588</v>
      </c>
      <c r="D487" s="2">
        <v>3172500</v>
      </c>
    </row>
    <row r="488" spans="1:4" x14ac:dyDescent="0.3">
      <c r="A488" s="2" t="s">
        <v>2070</v>
      </c>
      <c r="B488" s="2" t="s">
        <v>1082</v>
      </c>
      <c r="C488" s="2" t="s">
        <v>1588</v>
      </c>
      <c r="D488" s="2">
        <v>3180000</v>
      </c>
    </row>
    <row r="489" spans="1:4" x14ac:dyDescent="0.3">
      <c r="A489" s="2" t="s">
        <v>2071</v>
      </c>
      <c r="B489" s="2" t="s">
        <v>1085</v>
      </c>
      <c r="C489" s="2" t="s">
        <v>1588</v>
      </c>
      <c r="D489" s="2">
        <v>3187500</v>
      </c>
    </row>
    <row r="490" spans="1:4" x14ac:dyDescent="0.3">
      <c r="A490" s="2" t="s">
        <v>2072</v>
      </c>
      <c r="B490" s="2" t="s">
        <v>1087</v>
      </c>
      <c r="C490" s="2" t="s">
        <v>1588</v>
      </c>
      <c r="D490" s="2">
        <v>3195000</v>
      </c>
    </row>
    <row r="491" spans="1:4" x14ac:dyDescent="0.3">
      <c r="A491" s="2" t="s">
        <v>2073</v>
      </c>
      <c r="B491" s="2" t="s">
        <v>1088</v>
      </c>
      <c r="C491" s="2" t="s">
        <v>1588</v>
      </c>
      <c r="D491" s="2">
        <v>3202500</v>
      </c>
    </row>
    <row r="492" spans="1:4" x14ac:dyDescent="0.3">
      <c r="A492" s="2" t="s">
        <v>2074</v>
      </c>
      <c r="B492" s="2" t="s">
        <v>1587</v>
      </c>
      <c r="C492" s="2" t="s">
        <v>1588</v>
      </c>
      <c r="D492" s="2">
        <v>3210000</v>
      </c>
    </row>
    <row r="493" spans="1:4" x14ac:dyDescent="0.3">
      <c r="A493" s="2" t="s">
        <v>2075</v>
      </c>
      <c r="B493" s="2" t="s">
        <v>1082</v>
      </c>
      <c r="C493" s="2" t="s">
        <v>1588</v>
      </c>
      <c r="D493" s="2">
        <v>3217500</v>
      </c>
    </row>
    <row r="494" spans="1:4" x14ac:dyDescent="0.3">
      <c r="A494" s="2" t="s">
        <v>2076</v>
      </c>
      <c r="B494" s="2" t="s">
        <v>1085</v>
      </c>
      <c r="C494" s="2" t="s">
        <v>1588</v>
      </c>
      <c r="D494" s="2">
        <v>3225000</v>
      </c>
    </row>
    <row r="495" spans="1:4" x14ac:dyDescent="0.3">
      <c r="A495" s="2" t="s">
        <v>2077</v>
      </c>
      <c r="B495" s="2" t="s">
        <v>1087</v>
      </c>
      <c r="C495" s="2" t="s">
        <v>1588</v>
      </c>
      <c r="D495" s="2">
        <v>3232500</v>
      </c>
    </row>
    <row r="496" spans="1:4" x14ac:dyDescent="0.3">
      <c r="A496" s="2" t="s">
        <v>2078</v>
      </c>
      <c r="B496" s="2" t="s">
        <v>1088</v>
      </c>
      <c r="C496" s="2" t="s">
        <v>1588</v>
      </c>
      <c r="D496" s="2">
        <v>3240000</v>
      </c>
    </row>
    <row r="497" spans="1:4" x14ac:dyDescent="0.3">
      <c r="A497" s="2" t="s">
        <v>2079</v>
      </c>
      <c r="B497" s="2" t="s">
        <v>1587</v>
      </c>
      <c r="C497" s="2" t="s">
        <v>1588</v>
      </c>
      <c r="D497" s="2">
        <v>3247500</v>
      </c>
    </row>
    <row r="498" spans="1:4" x14ac:dyDescent="0.3">
      <c r="A498" s="2" t="s">
        <v>2080</v>
      </c>
      <c r="B498" s="2" t="s">
        <v>1082</v>
      </c>
      <c r="C498" s="2" t="s">
        <v>1588</v>
      </c>
      <c r="D498" s="2">
        <v>3255000</v>
      </c>
    </row>
    <row r="499" spans="1:4" x14ac:dyDescent="0.3">
      <c r="A499" s="2" t="s">
        <v>2081</v>
      </c>
      <c r="B499" s="2" t="s">
        <v>1085</v>
      </c>
      <c r="C499" s="2" t="s">
        <v>1588</v>
      </c>
      <c r="D499" s="2">
        <v>3262500</v>
      </c>
    </row>
    <row r="500" spans="1:4" x14ac:dyDescent="0.3">
      <c r="A500" s="2" t="s">
        <v>2082</v>
      </c>
      <c r="B500" s="2" t="s">
        <v>1087</v>
      </c>
      <c r="C500" s="2" t="s">
        <v>1588</v>
      </c>
      <c r="D500" s="2">
        <v>3270000</v>
      </c>
    </row>
    <row r="501" spans="1:4" x14ac:dyDescent="0.3">
      <c r="A501" s="2" t="s">
        <v>2083</v>
      </c>
      <c r="B501" s="2" t="s">
        <v>1088</v>
      </c>
      <c r="C501" s="2" t="s">
        <v>1588</v>
      </c>
      <c r="D501" s="2">
        <v>3277500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0F21-E3BB-4C77-B4CB-D36938051E0E}">
  <dimension ref="A1:B501"/>
  <sheetViews>
    <sheetView workbookViewId="0">
      <selection activeCell="F30" sqref="F30"/>
    </sheetView>
  </sheetViews>
  <sheetFormatPr defaultRowHeight="14.4" x14ac:dyDescent="0.3"/>
  <cols>
    <col min="2" max="2" width="11.33203125" bestFit="1" customWidth="1"/>
  </cols>
  <sheetData>
    <row r="1" spans="1:2" x14ac:dyDescent="0.3">
      <c r="A1" s="15" t="s">
        <v>2084</v>
      </c>
      <c r="B1" s="15" t="s">
        <v>1586</v>
      </c>
    </row>
    <row r="2" spans="1:2" x14ac:dyDescent="0.3">
      <c r="A2" s="2" t="s">
        <v>2085</v>
      </c>
      <c r="B2" s="11">
        <v>2500000</v>
      </c>
    </row>
    <row r="3" spans="1:2" x14ac:dyDescent="0.3">
      <c r="A3" s="2" t="s">
        <v>2086</v>
      </c>
      <c r="B3" s="11">
        <v>2800000</v>
      </c>
    </row>
    <row r="4" spans="1:2" x14ac:dyDescent="0.3">
      <c r="A4" s="2" t="s">
        <v>2087</v>
      </c>
      <c r="B4" s="11">
        <v>3000000</v>
      </c>
    </row>
    <row r="5" spans="1:2" x14ac:dyDescent="0.3">
      <c r="A5" s="2" t="s">
        <v>2088</v>
      </c>
      <c r="B5" s="11">
        <v>3200000</v>
      </c>
    </row>
    <row r="6" spans="1:2" x14ac:dyDescent="0.3">
      <c r="A6" s="2" t="s">
        <v>2089</v>
      </c>
      <c r="B6" s="11">
        <v>3500000</v>
      </c>
    </row>
    <row r="7" spans="1:2" x14ac:dyDescent="0.3">
      <c r="A7" s="2" t="s">
        <v>2090</v>
      </c>
      <c r="B7" s="11">
        <v>3800000</v>
      </c>
    </row>
    <row r="8" spans="1:2" x14ac:dyDescent="0.3">
      <c r="A8" s="2" t="s">
        <v>2091</v>
      </c>
      <c r="B8" s="11">
        <v>4013333.3333333302</v>
      </c>
    </row>
    <row r="9" spans="1:2" x14ac:dyDescent="0.3">
      <c r="A9" s="2" t="s">
        <v>2092</v>
      </c>
      <c r="B9" s="11">
        <v>4264761.9047619002</v>
      </c>
    </row>
    <row r="10" spans="1:2" x14ac:dyDescent="0.3">
      <c r="A10" s="2" t="s">
        <v>2093</v>
      </c>
      <c r="B10" s="11">
        <v>4516190.4761904702</v>
      </c>
    </row>
    <row r="11" spans="1:2" x14ac:dyDescent="0.3">
      <c r="A11" s="2" t="s">
        <v>2094</v>
      </c>
      <c r="B11" s="11">
        <v>4767619.0476190401</v>
      </c>
    </row>
    <row r="12" spans="1:2" x14ac:dyDescent="0.3">
      <c r="A12" s="2" t="s">
        <v>2095</v>
      </c>
      <c r="B12" s="11">
        <v>5019047.6190476101</v>
      </c>
    </row>
    <row r="13" spans="1:2" x14ac:dyDescent="0.3">
      <c r="A13" s="2" t="s">
        <v>2096</v>
      </c>
      <c r="B13" s="11">
        <v>5270476.1904761903</v>
      </c>
    </row>
    <row r="14" spans="1:2" x14ac:dyDescent="0.3">
      <c r="A14" s="2" t="s">
        <v>2085</v>
      </c>
      <c r="B14" s="11">
        <v>5521904.7619047603</v>
      </c>
    </row>
    <row r="15" spans="1:2" x14ac:dyDescent="0.3">
      <c r="A15" s="2" t="s">
        <v>2086</v>
      </c>
      <c r="B15" s="11">
        <v>5773333.3333333302</v>
      </c>
    </row>
    <row r="16" spans="1:2" x14ac:dyDescent="0.3">
      <c r="A16" s="2" t="s">
        <v>2087</v>
      </c>
      <c r="B16" s="11">
        <v>6024761.9047619002</v>
      </c>
    </row>
    <row r="17" spans="1:2" x14ac:dyDescent="0.3">
      <c r="A17" s="2" t="s">
        <v>2088</v>
      </c>
      <c r="B17" s="11">
        <v>6276190.4761904702</v>
      </c>
    </row>
    <row r="18" spans="1:2" x14ac:dyDescent="0.3">
      <c r="A18" s="2" t="s">
        <v>2089</v>
      </c>
      <c r="B18" s="11">
        <v>6527619.0476190401</v>
      </c>
    </row>
    <row r="19" spans="1:2" x14ac:dyDescent="0.3">
      <c r="A19" s="2" t="s">
        <v>2090</v>
      </c>
      <c r="B19" s="11">
        <v>6779047.6190476101</v>
      </c>
    </row>
    <row r="20" spans="1:2" x14ac:dyDescent="0.3">
      <c r="A20" s="2" t="s">
        <v>2091</v>
      </c>
      <c r="B20" s="11">
        <v>7030476.1904761903</v>
      </c>
    </row>
    <row r="21" spans="1:2" x14ac:dyDescent="0.3">
      <c r="A21" s="2" t="s">
        <v>2092</v>
      </c>
      <c r="B21" s="11">
        <v>7281904.7619047603</v>
      </c>
    </row>
    <row r="22" spans="1:2" x14ac:dyDescent="0.3">
      <c r="A22" s="2" t="s">
        <v>2093</v>
      </c>
      <c r="B22" s="11">
        <v>7533333.3333333302</v>
      </c>
    </row>
    <row r="23" spans="1:2" x14ac:dyDescent="0.3">
      <c r="A23" s="2" t="s">
        <v>2094</v>
      </c>
      <c r="B23" s="11">
        <v>7784761.9047619002</v>
      </c>
    </row>
    <row r="24" spans="1:2" x14ac:dyDescent="0.3">
      <c r="A24" s="2" t="s">
        <v>2095</v>
      </c>
      <c r="B24" s="11">
        <v>8036190.4761904702</v>
      </c>
    </row>
    <row r="25" spans="1:2" x14ac:dyDescent="0.3">
      <c r="A25" s="2" t="s">
        <v>2096</v>
      </c>
      <c r="B25" s="11">
        <v>8287619.0476190401</v>
      </c>
    </row>
    <row r="26" spans="1:2" x14ac:dyDescent="0.3">
      <c r="A26" s="2" t="s">
        <v>2085</v>
      </c>
      <c r="B26" s="11">
        <v>8539047.6190476194</v>
      </c>
    </row>
    <row r="27" spans="1:2" x14ac:dyDescent="0.3">
      <c r="A27" s="2" t="s">
        <v>2086</v>
      </c>
      <c r="B27" s="11">
        <v>8790476.1904761903</v>
      </c>
    </row>
    <row r="28" spans="1:2" x14ac:dyDescent="0.3">
      <c r="A28" s="2" t="s">
        <v>2087</v>
      </c>
      <c r="B28" s="11">
        <v>9041904.7619047593</v>
      </c>
    </row>
    <row r="29" spans="1:2" x14ac:dyDescent="0.3">
      <c r="A29" s="2" t="s">
        <v>2088</v>
      </c>
      <c r="B29" s="11">
        <v>9293333.3333333395</v>
      </c>
    </row>
    <row r="30" spans="1:2" x14ac:dyDescent="0.3">
      <c r="A30" s="2" t="s">
        <v>2089</v>
      </c>
      <c r="B30" s="11">
        <v>9544761.9047618993</v>
      </c>
    </row>
    <row r="31" spans="1:2" x14ac:dyDescent="0.3">
      <c r="A31" s="2" t="s">
        <v>2090</v>
      </c>
      <c r="B31" s="11">
        <v>9796190.4761904702</v>
      </c>
    </row>
    <row r="32" spans="1:2" x14ac:dyDescent="0.3">
      <c r="A32" s="2" t="s">
        <v>2091</v>
      </c>
      <c r="B32" s="11">
        <v>10047619.047619</v>
      </c>
    </row>
    <row r="33" spans="1:2" x14ac:dyDescent="0.3">
      <c r="A33" s="2" t="s">
        <v>2092</v>
      </c>
      <c r="B33" s="11">
        <v>10299047.619047601</v>
      </c>
    </row>
    <row r="34" spans="1:2" x14ac:dyDescent="0.3">
      <c r="A34" s="2" t="s">
        <v>2093</v>
      </c>
      <c r="B34" s="11">
        <v>10550476.1904762</v>
      </c>
    </row>
    <row r="35" spans="1:2" x14ac:dyDescent="0.3">
      <c r="A35" s="2" t="s">
        <v>2094</v>
      </c>
      <c r="B35" s="11">
        <v>10801904.7619048</v>
      </c>
    </row>
    <row r="36" spans="1:2" x14ac:dyDescent="0.3">
      <c r="A36" s="2" t="s">
        <v>2095</v>
      </c>
      <c r="B36" s="11">
        <v>11053333.3333333</v>
      </c>
    </row>
    <row r="37" spans="1:2" x14ac:dyDescent="0.3">
      <c r="A37" s="2" t="s">
        <v>2096</v>
      </c>
      <c r="B37" s="11">
        <v>11304761.904761899</v>
      </c>
    </row>
    <row r="38" spans="1:2" x14ac:dyDescent="0.3">
      <c r="A38" s="2" t="s">
        <v>2085</v>
      </c>
      <c r="B38" s="11">
        <v>11556190.4761905</v>
      </c>
    </row>
    <row r="39" spans="1:2" x14ac:dyDescent="0.3">
      <c r="A39" s="2" t="s">
        <v>2086</v>
      </c>
      <c r="B39" s="11">
        <v>11807619.047619</v>
      </c>
    </row>
    <row r="40" spans="1:2" x14ac:dyDescent="0.3">
      <c r="A40" s="2" t="s">
        <v>2087</v>
      </c>
      <c r="B40" s="11">
        <v>12059047.619047601</v>
      </c>
    </row>
    <row r="41" spans="1:2" x14ac:dyDescent="0.3">
      <c r="A41" s="2" t="s">
        <v>2088</v>
      </c>
      <c r="B41" s="11">
        <v>12310476.1904762</v>
      </c>
    </row>
    <row r="42" spans="1:2" x14ac:dyDescent="0.3">
      <c r="A42" s="2" t="s">
        <v>2089</v>
      </c>
      <c r="B42" s="11">
        <v>12561904.7619048</v>
      </c>
    </row>
    <row r="43" spans="1:2" x14ac:dyDescent="0.3">
      <c r="A43" s="2" t="s">
        <v>2090</v>
      </c>
      <c r="B43" s="11">
        <v>12813333.3333333</v>
      </c>
    </row>
    <row r="44" spans="1:2" x14ac:dyDescent="0.3">
      <c r="A44" s="2" t="s">
        <v>2091</v>
      </c>
      <c r="B44" s="11">
        <v>13064761.904761899</v>
      </c>
    </row>
    <row r="45" spans="1:2" x14ac:dyDescent="0.3">
      <c r="A45" s="2" t="s">
        <v>2092</v>
      </c>
      <c r="B45" s="11">
        <v>13316190.4761905</v>
      </c>
    </row>
    <row r="46" spans="1:2" x14ac:dyDescent="0.3">
      <c r="A46" s="2" t="s">
        <v>2093</v>
      </c>
      <c r="B46" s="11">
        <v>13567619.047619</v>
      </c>
    </row>
    <row r="47" spans="1:2" x14ac:dyDescent="0.3">
      <c r="A47" s="2" t="s">
        <v>2094</v>
      </c>
      <c r="B47" s="11">
        <v>13819047.619047601</v>
      </c>
    </row>
    <row r="48" spans="1:2" x14ac:dyDescent="0.3">
      <c r="A48" s="2" t="s">
        <v>2095</v>
      </c>
      <c r="B48" s="11">
        <v>14070476.1904762</v>
      </c>
    </row>
    <row r="49" spans="1:2" x14ac:dyDescent="0.3">
      <c r="A49" s="2" t="s">
        <v>2096</v>
      </c>
      <c r="B49" s="11">
        <v>14321904.7619048</v>
      </c>
    </row>
    <row r="50" spans="1:2" x14ac:dyDescent="0.3">
      <c r="A50" s="2" t="s">
        <v>2085</v>
      </c>
      <c r="B50" s="11">
        <v>14573333.3333333</v>
      </c>
    </row>
    <row r="51" spans="1:2" x14ac:dyDescent="0.3">
      <c r="A51" s="2" t="s">
        <v>2086</v>
      </c>
      <c r="B51" s="11">
        <v>14824761.904761899</v>
      </c>
    </row>
    <row r="52" spans="1:2" x14ac:dyDescent="0.3">
      <c r="A52" s="2" t="s">
        <v>2087</v>
      </c>
      <c r="B52" s="11">
        <v>15076190.4761905</v>
      </c>
    </row>
    <row r="53" spans="1:2" x14ac:dyDescent="0.3">
      <c r="A53" s="2" t="s">
        <v>2088</v>
      </c>
      <c r="B53" s="11">
        <v>15327619.047619</v>
      </c>
    </row>
    <row r="54" spans="1:2" x14ac:dyDescent="0.3">
      <c r="A54" s="2" t="s">
        <v>2089</v>
      </c>
      <c r="B54" s="11">
        <v>15579047.619047601</v>
      </c>
    </row>
    <row r="55" spans="1:2" x14ac:dyDescent="0.3">
      <c r="A55" s="2" t="s">
        <v>2090</v>
      </c>
      <c r="B55" s="11">
        <v>15830476.1904762</v>
      </c>
    </row>
    <row r="56" spans="1:2" x14ac:dyDescent="0.3">
      <c r="A56" s="2" t="s">
        <v>2091</v>
      </c>
      <c r="B56" s="11">
        <v>16081904.7619048</v>
      </c>
    </row>
    <row r="57" spans="1:2" x14ac:dyDescent="0.3">
      <c r="A57" s="2" t="s">
        <v>2092</v>
      </c>
      <c r="B57" s="11">
        <v>16333333.3333333</v>
      </c>
    </row>
    <row r="58" spans="1:2" x14ac:dyDescent="0.3">
      <c r="A58" s="2" t="s">
        <v>2093</v>
      </c>
      <c r="B58" s="11">
        <v>16584761.904761899</v>
      </c>
    </row>
    <row r="59" spans="1:2" x14ac:dyDescent="0.3">
      <c r="A59" s="2" t="s">
        <v>2094</v>
      </c>
      <c r="B59" s="11">
        <v>16836190.4761905</v>
      </c>
    </row>
    <row r="60" spans="1:2" x14ac:dyDescent="0.3">
      <c r="A60" s="2" t="s">
        <v>2095</v>
      </c>
      <c r="B60" s="11">
        <v>17087619.047619</v>
      </c>
    </row>
    <row r="61" spans="1:2" x14ac:dyDescent="0.3">
      <c r="A61" s="2" t="s">
        <v>2096</v>
      </c>
      <c r="B61" s="11">
        <v>17339047.619047601</v>
      </c>
    </row>
    <row r="62" spans="1:2" x14ac:dyDescent="0.3">
      <c r="A62" s="2" t="s">
        <v>2085</v>
      </c>
      <c r="B62" s="11">
        <v>17590476.190476201</v>
      </c>
    </row>
    <row r="63" spans="1:2" x14ac:dyDescent="0.3">
      <c r="A63" s="2" t="s">
        <v>2086</v>
      </c>
      <c r="B63" s="11">
        <v>17841904.761904798</v>
      </c>
    </row>
    <row r="64" spans="1:2" x14ac:dyDescent="0.3">
      <c r="A64" s="2" t="s">
        <v>2087</v>
      </c>
      <c r="B64" s="11">
        <v>18093333.333333299</v>
      </c>
    </row>
    <row r="65" spans="1:2" x14ac:dyDescent="0.3">
      <c r="A65" s="2" t="s">
        <v>2088</v>
      </c>
      <c r="B65" s="11">
        <v>18344761.904761899</v>
      </c>
    </row>
    <row r="66" spans="1:2" x14ac:dyDescent="0.3">
      <c r="A66" s="2" t="s">
        <v>2089</v>
      </c>
      <c r="B66" s="11">
        <v>18596190.4761905</v>
      </c>
    </row>
    <row r="67" spans="1:2" x14ac:dyDescent="0.3">
      <c r="A67" s="2" t="s">
        <v>2090</v>
      </c>
      <c r="B67" s="11">
        <v>18847619.047619</v>
      </c>
    </row>
    <row r="68" spans="1:2" x14ac:dyDescent="0.3">
      <c r="A68" s="2" t="s">
        <v>2091</v>
      </c>
      <c r="B68" s="11">
        <v>19099047.619047601</v>
      </c>
    </row>
    <row r="69" spans="1:2" x14ac:dyDescent="0.3">
      <c r="A69" s="2" t="s">
        <v>2092</v>
      </c>
      <c r="B69" s="11">
        <v>19350476.190476201</v>
      </c>
    </row>
    <row r="70" spans="1:2" x14ac:dyDescent="0.3">
      <c r="A70" s="2" t="s">
        <v>2093</v>
      </c>
      <c r="B70" s="11">
        <v>19601904.761904798</v>
      </c>
    </row>
    <row r="71" spans="1:2" x14ac:dyDescent="0.3">
      <c r="A71" s="2" t="s">
        <v>2094</v>
      </c>
      <c r="B71" s="11">
        <v>19853333.333333299</v>
      </c>
    </row>
    <row r="72" spans="1:2" x14ac:dyDescent="0.3">
      <c r="A72" s="2" t="s">
        <v>2095</v>
      </c>
      <c r="B72" s="11">
        <v>20104761.904761899</v>
      </c>
    </row>
    <row r="73" spans="1:2" x14ac:dyDescent="0.3">
      <c r="A73" s="2" t="s">
        <v>2096</v>
      </c>
      <c r="B73" s="11">
        <v>20356190.4761905</v>
      </c>
    </row>
    <row r="74" spans="1:2" x14ac:dyDescent="0.3">
      <c r="A74" s="2" t="s">
        <v>2085</v>
      </c>
      <c r="B74" s="11">
        <v>20607619.047619</v>
      </c>
    </row>
    <row r="75" spans="1:2" x14ac:dyDescent="0.3">
      <c r="A75" s="2" t="s">
        <v>2086</v>
      </c>
      <c r="B75" s="11">
        <v>20859047.619047601</v>
      </c>
    </row>
    <row r="76" spans="1:2" x14ac:dyDescent="0.3">
      <c r="A76" s="2" t="s">
        <v>2087</v>
      </c>
      <c r="B76" s="11">
        <v>21110476.190476201</v>
      </c>
    </row>
    <row r="77" spans="1:2" x14ac:dyDescent="0.3">
      <c r="A77" s="2" t="s">
        <v>2088</v>
      </c>
      <c r="B77" s="11">
        <v>21361904.761904798</v>
      </c>
    </row>
    <row r="78" spans="1:2" x14ac:dyDescent="0.3">
      <c r="A78" s="2" t="s">
        <v>2089</v>
      </c>
      <c r="B78" s="11">
        <v>21613333.333333299</v>
      </c>
    </row>
    <row r="79" spans="1:2" x14ac:dyDescent="0.3">
      <c r="A79" s="2" t="s">
        <v>2090</v>
      </c>
      <c r="B79" s="11">
        <v>21864761.904761899</v>
      </c>
    </row>
    <row r="80" spans="1:2" x14ac:dyDescent="0.3">
      <c r="A80" s="2" t="s">
        <v>2091</v>
      </c>
      <c r="B80" s="11">
        <v>22116190.4761905</v>
      </c>
    </row>
    <row r="81" spans="1:2" x14ac:dyDescent="0.3">
      <c r="A81" s="2" t="s">
        <v>2092</v>
      </c>
      <c r="B81" s="11">
        <v>22367619.047619</v>
      </c>
    </row>
    <row r="82" spans="1:2" x14ac:dyDescent="0.3">
      <c r="A82" s="2" t="s">
        <v>2093</v>
      </c>
      <c r="B82" s="11">
        <v>22619047.619047601</v>
      </c>
    </row>
    <row r="83" spans="1:2" x14ac:dyDescent="0.3">
      <c r="A83" s="2" t="s">
        <v>2094</v>
      </c>
      <c r="B83" s="11">
        <v>22870476.190476201</v>
      </c>
    </row>
    <row r="84" spans="1:2" x14ac:dyDescent="0.3">
      <c r="A84" s="2" t="s">
        <v>2095</v>
      </c>
      <c r="B84" s="11">
        <v>23121904.761904798</v>
      </c>
    </row>
    <row r="85" spans="1:2" x14ac:dyDescent="0.3">
      <c r="A85" s="2" t="s">
        <v>2096</v>
      </c>
      <c r="B85" s="11">
        <v>23373333.333333299</v>
      </c>
    </row>
    <row r="86" spans="1:2" x14ac:dyDescent="0.3">
      <c r="A86" s="2" t="s">
        <v>2085</v>
      </c>
      <c r="B86" s="11">
        <v>23624761.904761899</v>
      </c>
    </row>
    <row r="87" spans="1:2" x14ac:dyDescent="0.3">
      <c r="A87" s="2" t="s">
        <v>2086</v>
      </c>
      <c r="B87" s="11">
        <v>23876190.4761905</v>
      </c>
    </row>
    <row r="88" spans="1:2" x14ac:dyDescent="0.3">
      <c r="A88" s="2" t="s">
        <v>2087</v>
      </c>
      <c r="B88" s="11">
        <v>24127619.047619</v>
      </c>
    </row>
    <row r="89" spans="1:2" x14ac:dyDescent="0.3">
      <c r="A89" s="2" t="s">
        <v>2088</v>
      </c>
      <c r="B89" s="11">
        <v>24379047.619047601</v>
      </c>
    </row>
    <row r="90" spans="1:2" x14ac:dyDescent="0.3">
      <c r="A90" s="2" t="s">
        <v>2089</v>
      </c>
      <c r="B90" s="11">
        <v>24630476.190476201</v>
      </c>
    </row>
    <row r="91" spans="1:2" x14ac:dyDescent="0.3">
      <c r="A91" s="2" t="s">
        <v>2090</v>
      </c>
      <c r="B91" s="11">
        <v>24881904.761904798</v>
      </c>
    </row>
    <row r="92" spans="1:2" x14ac:dyDescent="0.3">
      <c r="A92" s="2" t="s">
        <v>2091</v>
      </c>
      <c r="B92" s="11">
        <v>25133333.333333299</v>
      </c>
    </row>
    <row r="93" spans="1:2" x14ac:dyDescent="0.3">
      <c r="A93" s="2" t="s">
        <v>2092</v>
      </c>
      <c r="B93" s="11">
        <v>25384761.904761899</v>
      </c>
    </row>
    <row r="94" spans="1:2" x14ac:dyDescent="0.3">
      <c r="A94" s="2" t="s">
        <v>2093</v>
      </c>
      <c r="B94" s="11">
        <v>25636190.4761905</v>
      </c>
    </row>
    <row r="95" spans="1:2" x14ac:dyDescent="0.3">
      <c r="A95" s="2" t="s">
        <v>2094</v>
      </c>
      <c r="B95" s="11">
        <v>25887619.047619</v>
      </c>
    </row>
    <row r="96" spans="1:2" x14ac:dyDescent="0.3">
      <c r="A96" s="2" t="s">
        <v>2095</v>
      </c>
      <c r="B96" s="11">
        <v>26139047.619047601</v>
      </c>
    </row>
    <row r="97" spans="1:2" x14ac:dyDescent="0.3">
      <c r="A97" s="2" t="s">
        <v>2096</v>
      </c>
      <c r="B97" s="11">
        <v>26390476.190476201</v>
      </c>
    </row>
    <row r="98" spans="1:2" x14ac:dyDescent="0.3">
      <c r="A98" s="2" t="s">
        <v>2085</v>
      </c>
      <c r="B98" s="11">
        <v>26641904.761904798</v>
      </c>
    </row>
    <row r="99" spans="1:2" x14ac:dyDescent="0.3">
      <c r="A99" s="2" t="s">
        <v>2086</v>
      </c>
      <c r="B99" s="11">
        <v>26893333.333333299</v>
      </c>
    </row>
    <row r="100" spans="1:2" x14ac:dyDescent="0.3">
      <c r="A100" s="2" t="s">
        <v>2087</v>
      </c>
      <c r="B100" s="11">
        <v>27144761.904761899</v>
      </c>
    </row>
    <row r="101" spans="1:2" x14ac:dyDescent="0.3">
      <c r="A101" s="2" t="s">
        <v>2088</v>
      </c>
      <c r="B101" s="11">
        <v>27396190.4761905</v>
      </c>
    </row>
    <row r="102" spans="1:2" x14ac:dyDescent="0.3">
      <c r="A102" s="2" t="s">
        <v>2089</v>
      </c>
      <c r="B102" s="11">
        <v>27647619.047619</v>
      </c>
    </row>
    <row r="103" spans="1:2" x14ac:dyDescent="0.3">
      <c r="A103" s="2" t="s">
        <v>2090</v>
      </c>
      <c r="B103" s="11">
        <v>27899047.619047601</v>
      </c>
    </row>
    <row r="104" spans="1:2" x14ac:dyDescent="0.3">
      <c r="A104" s="2" t="s">
        <v>2091</v>
      </c>
      <c r="B104" s="11">
        <v>28150476.190476201</v>
      </c>
    </row>
    <row r="105" spans="1:2" x14ac:dyDescent="0.3">
      <c r="A105" s="2" t="s">
        <v>2092</v>
      </c>
      <c r="B105" s="11">
        <v>28401904.761904798</v>
      </c>
    </row>
    <row r="106" spans="1:2" x14ac:dyDescent="0.3">
      <c r="A106" s="2" t="s">
        <v>2093</v>
      </c>
      <c r="B106" s="11">
        <v>28653333.333333299</v>
      </c>
    </row>
    <row r="107" spans="1:2" x14ac:dyDescent="0.3">
      <c r="A107" s="2" t="s">
        <v>2094</v>
      </c>
      <c r="B107" s="11">
        <v>28904761.904761899</v>
      </c>
    </row>
    <row r="108" spans="1:2" x14ac:dyDescent="0.3">
      <c r="A108" s="2" t="s">
        <v>2095</v>
      </c>
      <c r="B108" s="11">
        <v>29156190.4761905</v>
      </c>
    </row>
    <row r="109" spans="1:2" x14ac:dyDescent="0.3">
      <c r="A109" s="2" t="s">
        <v>2096</v>
      </c>
      <c r="B109" s="11">
        <v>29407619.047619</v>
      </c>
    </row>
    <row r="110" spans="1:2" x14ac:dyDescent="0.3">
      <c r="A110" s="2" t="s">
        <v>2085</v>
      </c>
      <c r="B110" s="11">
        <v>29659047.619047601</v>
      </c>
    </row>
    <row r="111" spans="1:2" x14ac:dyDescent="0.3">
      <c r="A111" s="2" t="s">
        <v>2086</v>
      </c>
      <c r="B111" s="11">
        <v>29910476.190476201</v>
      </c>
    </row>
    <row r="112" spans="1:2" x14ac:dyDescent="0.3">
      <c r="A112" s="2" t="s">
        <v>2087</v>
      </c>
      <c r="B112" s="11">
        <v>30161904.761904798</v>
      </c>
    </row>
    <row r="113" spans="1:2" x14ac:dyDescent="0.3">
      <c r="A113" s="2" t="s">
        <v>2088</v>
      </c>
      <c r="B113" s="11">
        <v>30413333.333333299</v>
      </c>
    </row>
    <row r="114" spans="1:2" x14ac:dyDescent="0.3">
      <c r="A114" s="2" t="s">
        <v>2089</v>
      </c>
      <c r="B114" s="11">
        <v>30664761.904761899</v>
      </c>
    </row>
    <row r="115" spans="1:2" x14ac:dyDescent="0.3">
      <c r="A115" s="2" t="s">
        <v>2090</v>
      </c>
      <c r="B115" s="11">
        <v>30916190.4761905</v>
      </c>
    </row>
    <row r="116" spans="1:2" x14ac:dyDescent="0.3">
      <c r="A116" s="2" t="s">
        <v>2091</v>
      </c>
      <c r="B116" s="11">
        <v>31167619.047619</v>
      </c>
    </row>
    <row r="117" spans="1:2" x14ac:dyDescent="0.3">
      <c r="A117" s="2" t="s">
        <v>2092</v>
      </c>
      <c r="B117" s="11">
        <v>31419047.619047601</v>
      </c>
    </row>
    <row r="118" spans="1:2" x14ac:dyDescent="0.3">
      <c r="A118" s="2" t="s">
        <v>2093</v>
      </c>
      <c r="B118" s="11">
        <v>31670476.190476201</v>
      </c>
    </row>
    <row r="119" spans="1:2" x14ac:dyDescent="0.3">
      <c r="A119" s="2" t="s">
        <v>2094</v>
      </c>
      <c r="B119" s="11">
        <v>31921904.761904798</v>
      </c>
    </row>
    <row r="120" spans="1:2" x14ac:dyDescent="0.3">
      <c r="A120" s="2" t="s">
        <v>2095</v>
      </c>
      <c r="B120" s="11">
        <v>32173333.333333299</v>
      </c>
    </row>
    <row r="121" spans="1:2" x14ac:dyDescent="0.3">
      <c r="A121" s="2" t="s">
        <v>2096</v>
      </c>
      <c r="B121" s="11">
        <v>32424761.904761899</v>
      </c>
    </row>
    <row r="122" spans="1:2" x14ac:dyDescent="0.3">
      <c r="A122" s="2" t="s">
        <v>2085</v>
      </c>
      <c r="B122" s="11">
        <v>32676190.4761905</v>
      </c>
    </row>
    <row r="123" spans="1:2" x14ac:dyDescent="0.3">
      <c r="A123" s="2" t="s">
        <v>2086</v>
      </c>
      <c r="B123" s="11">
        <v>32927619.047619</v>
      </c>
    </row>
    <row r="124" spans="1:2" x14ac:dyDescent="0.3">
      <c r="A124" s="2" t="s">
        <v>2087</v>
      </c>
      <c r="B124" s="11">
        <v>33179047.619047601</v>
      </c>
    </row>
    <row r="125" spans="1:2" x14ac:dyDescent="0.3">
      <c r="A125" s="2" t="s">
        <v>2088</v>
      </c>
      <c r="B125" s="11">
        <v>33430476.190476201</v>
      </c>
    </row>
    <row r="126" spans="1:2" x14ac:dyDescent="0.3">
      <c r="A126" s="2" t="s">
        <v>2089</v>
      </c>
      <c r="B126" s="11">
        <v>33681904.761904798</v>
      </c>
    </row>
    <row r="127" spans="1:2" x14ac:dyDescent="0.3">
      <c r="A127" s="2" t="s">
        <v>2090</v>
      </c>
      <c r="B127" s="11">
        <v>33933333.333333299</v>
      </c>
    </row>
    <row r="128" spans="1:2" x14ac:dyDescent="0.3">
      <c r="A128" s="2" t="s">
        <v>2091</v>
      </c>
      <c r="B128" s="11">
        <v>34184761.904761903</v>
      </c>
    </row>
    <row r="129" spans="1:2" x14ac:dyDescent="0.3">
      <c r="A129" s="2" t="s">
        <v>2092</v>
      </c>
      <c r="B129" s="11">
        <v>34436190.4761905</v>
      </c>
    </row>
    <row r="130" spans="1:2" x14ac:dyDescent="0.3">
      <c r="A130" s="2" t="s">
        <v>2093</v>
      </c>
      <c r="B130" s="11">
        <v>34687619.047619</v>
      </c>
    </row>
    <row r="131" spans="1:2" x14ac:dyDescent="0.3">
      <c r="A131" s="2" t="s">
        <v>2094</v>
      </c>
      <c r="B131" s="11">
        <v>34939047.619047597</v>
      </c>
    </row>
    <row r="132" spans="1:2" x14ac:dyDescent="0.3">
      <c r="A132" s="2" t="s">
        <v>2095</v>
      </c>
      <c r="B132" s="11">
        <v>35190476.190476201</v>
      </c>
    </row>
    <row r="133" spans="1:2" x14ac:dyDescent="0.3">
      <c r="A133" s="2" t="s">
        <v>2096</v>
      </c>
      <c r="B133" s="11">
        <v>35441904.761904798</v>
      </c>
    </row>
    <row r="134" spans="1:2" x14ac:dyDescent="0.3">
      <c r="A134" s="2" t="s">
        <v>2085</v>
      </c>
      <c r="B134" s="11">
        <v>35693333.333333299</v>
      </c>
    </row>
    <row r="135" spans="1:2" x14ac:dyDescent="0.3">
      <c r="A135" s="2" t="s">
        <v>2086</v>
      </c>
      <c r="B135" s="11">
        <v>35944761.904761903</v>
      </c>
    </row>
    <row r="136" spans="1:2" x14ac:dyDescent="0.3">
      <c r="A136" s="2" t="s">
        <v>2087</v>
      </c>
      <c r="B136" s="11">
        <v>36196190.4761905</v>
      </c>
    </row>
    <row r="137" spans="1:2" x14ac:dyDescent="0.3">
      <c r="A137" s="2" t="s">
        <v>2088</v>
      </c>
      <c r="B137" s="11">
        <v>36447619.047619</v>
      </c>
    </row>
    <row r="138" spans="1:2" x14ac:dyDescent="0.3">
      <c r="A138" s="2" t="s">
        <v>2089</v>
      </c>
      <c r="B138" s="11">
        <v>36699047.619047597</v>
      </c>
    </row>
    <row r="139" spans="1:2" x14ac:dyDescent="0.3">
      <c r="A139" s="2" t="s">
        <v>2090</v>
      </c>
      <c r="B139" s="11">
        <v>36950476.190476201</v>
      </c>
    </row>
    <row r="140" spans="1:2" x14ac:dyDescent="0.3">
      <c r="A140" s="2" t="s">
        <v>2091</v>
      </c>
      <c r="B140" s="11">
        <v>37201904.761904798</v>
      </c>
    </row>
    <row r="141" spans="1:2" x14ac:dyDescent="0.3">
      <c r="A141" s="2" t="s">
        <v>2092</v>
      </c>
      <c r="B141" s="11">
        <v>37453333.333333299</v>
      </c>
    </row>
    <row r="142" spans="1:2" x14ac:dyDescent="0.3">
      <c r="A142" s="2" t="s">
        <v>2093</v>
      </c>
      <c r="B142" s="11">
        <v>37704761.904761903</v>
      </c>
    </row>
    <row r="143" spans="1:2" x14ac:dyDescent="0.3">
      <c r="A143" s="2" t="s">
        <v>2094</v>
      </c>
      <c r="B143" s="11">
        <v>37956190.4761905</v>
      </c>
    </row>
    <row r="144" spans="1:2" x14ac:dyDescent="0.3">
      <c r="A144" s="2" t="s">
        <v>2095</v>
      </c>
      <c r="B144" s="11">
        <v>38207619.047619</v>
      </c>
    </row>
    <row r="145" spans="1:2" x14ac:dyDescent="0.3">
      <c r="A145" s="2" t="s">
        <v>2096</v>
      </c>
      <c r="B145" s="11">
        <v>38459047.619047597</v>
      </c>
    </row>
    <row r="146" spans="1:2" x14ac:dyDescent="0.3">
      <c r="A146" s="2" t="s">
        <v>2085</v>
      </c>
      <c r="B146" s="11">
        <v>38710476.190476201</v>
      </c>
    </row>
    <row r="147" spans="1:2" x14ac:dyDescent="0.3">
      <c r="A147" s="2" t="s">
        <v>2086</v>
      </c>
      <c r="B147" s="11">
        <v>38961904.761904798</v>
      </c>
    </row>
    <row r="148" spans="1:2" x14ac:dyDescent="0.3">
      <c r="A148" s="2" t="s">
        <v>2087</v>
      </c>
      <c r="B148" s="11">
        <v>39213333.333333299</v>
      </c>
    </row>
    <row r="149" spans="1:2" x14ac:dyDescent="0.3">
      <c r="A149" s="2" t="s">
        <v>2088</v>
      </c>
      <c r="B149" s="11">
        <v>39464761.904761903</v>
      </c>
    </row>
    <row r="150" spans="1:2" x14ac:dyDescent="0.3">
      <c r="A150" s="2" t="s">
        <v>2089</v>
      </c>
      <c r="B150" s="11">
        <v>39716190.4761905</v>
      </c>
    </row>
    <row r="151" spans="1:2" x14ac:dyDescent="0.3">
      <c r="A151" s="2" t="s">
        <v>2090</v>
      </c>
      <c r="B151" s="11">
        <v>39967619.047619</v>
      </c>
    </row>
    <row r="152" spans="1:2" x14ac:dyDescent="0.3">
      <c r="A152" s="2" t="s">
        <v>2091</v>
      </c>
      <c r="B152" s="11">
        <v>40219047.619047597</v>
      </c>
    </row>
    <row r="153" spans="1:2" x14ac:dyDescent="0.3">
      <c r="A153" s="2" t="s">
        <v>2092</v>
      </c>
      <c r="B153" s="11">
        <v>40470476.190476201</v>
      </c>
    </row>
    <row r="154" spans="1:2" x14ac:dyDescent="0.3">
      <c r="A154" s="2" t="s">
        <v>2093</v>
      </c>
      <c r="B154" s="11">
        <v>40721904.761904798</v>
      </c>
    </row>
    <row r="155" spans="1:2" x14ac:dyDescent="0.3">
      <c r="A155" s="2" t="s">
        <v>2094</v>
      </c>
      <c r="B155" s="11">
        <v>40973333.333333299</v>
      </c>
    </row>
    <row r="156" spans="1:2" x14ac:dyDescent="0.3">
      <c r="A156" s="2" t="s">
        <v>2095</v>
      </c>
      <c r="B156" s="11">
        <v>41224761.904761903</v>
      </c>
    </row>
    <row r="157" spans="1:2" x14ac:dyDescent="0.3">
      <c r="A157" s="2" t="s">
        <v>2096</v>
      </c>
      <c r="B157" s="11">
        <v>41476190.4761905</v>
      </c>
    </row>
    <row r="158" spans="1:2" x14ac:dyDescent="0.3">
      <c r="A158" s="2" t="s">
        <v>2085</v>
      </c>
      <c r="B158" s="11">
        <v>41727619.047619</v>
      </c>
    </row>
    <row r="159" spans="1:2" x14ac:dyDescent="0.3">
      <c r="A159" s="2" t="s">
        <v>2086</v>
      </c>
      <c r="B159" s="11">
        <v>41979047.619047597</v>
      </c>
    </row>
    <row r="160" spans="1:2" x14ac:dyDescent="0.3">
      <c r="A160" s="2" t="s">
        <v>2087</v>
      </c>
      <c r="B160" s="11">
        <v>42230476.190476201</v>
      </c>
    </row>
    <row r="161" spans="1:2" x14ac:dyDescent="0.3">
      <c r="A161" s="2" t="s">
        <v>2088</v>
      </c>
      <c r="B161" s="11">
        <v>42481904.761904798</v>
      </c>
    </row>
    <row r="162" spans="1:2" x14ac:dyDescent="0.3">
      <c r="A162" s="2" t="s">
        <v>2089</v>
      </c>
      <c r="B162" s="11">
        <v>42733333.333333299</v>
      </c>
    </row>
    <row r="163" spans="1:2" x14ac:dyDescent="0.3">
      <c r="A163" s="2" t="s">
        <v>2090</v>
      </c>
      <c r="B163" s="11">
        <v>42984761.904761903</v>
      </c>
    </row>
    <row r="164" spans="1:2" x14ac:dyDescent="0.3">
      <c r="A164" s="2" t="s">
        <v>2091</v>
      </c>
      <c r="B164" s="11">
        <v>43236190.4761905</v>
      </c>
    </row>
    <row r="165" spans="1:2" x14ac:dyDescent="0.3">
      <c r="A165" s="2" t="s">
        <v>2092</v>
      </c>
      <c r="B165" s="11">
        <v>43487619.047619</v>
      </c>
    </row>
    <row r="166" spans="1:2" x14ac:dyDescent="0.3">
      <c r="A166" s="2" t="s">
        <v>2093</v>
      </c>
      <c r="B166" s="11">
        <v>43739047.619047597</v>
      </c>
    </row>
    <row r="167" spans="1:2" x14ac:dyDescent="0.3">
      <c r="A167" s="2" t="s">
        <v>2094</v>
      </c>
      <c r="B167" s="11">
        <v>43990476.190476201</v>
      </c>
    </row>
    <row r="168" spans="1:2" x14ac:dyDescent="0.3">
      <c r="A168" s="2" t="s">
        <v>2095</v>
      </c>
      <c r="B168" s="11">
        <v>44241904.761904798</v>
      </c>
    </row>
    <row r="169" spans="1:2" x14ac:dyDescent="0.3">
      <c r="A169" s="2" t="s">
        <v>2096</v>
      </c>
      <c r="B169" s="11">
        <v>44493333.333333299</v>
      </c>
    </row>
    <row r="170" spans="1:2" x14ac:dyDescent="0.3">
      <c r="A170" s="2" t="s">
        <v>2085</v>
      </c>
      <c r="B170" s="11">
        <v>44744761.904761903</v>
      </c>
    </row>
    <row r="171" spans="1:2" x14ac:dyDescent="0.3">
      <c r="A171" s="2" t="s">
        <v>2086</v>
      </c>
      <c r="B171" s="11">
        <v>44996190.4761905</v>
      </c>
    </row>
    <row r="172" spans="1:2" x14ac:dyDescent="0.3">
      <c r="A172" s="2" t="s">
        <v>2087</v>
      </c>
      <c r="B172" s="11">
        <v>45247619.047619</v>
      </c>
    </row>
    <row r="173" spans="1:2" x14ac:dyDescent="0.3">
      <c r="A173" s="2" t="s">
        <v>2088</v>
      </c>
      <c r="B173" s="11">
        <v>45499047.619047597</v>
      </c>
    </row>
    <row r="174" spans="1:2" x14ac:dyDescent="0.3">
      <c r="A174" s="2" t="s">
        <v>2089</v>
      </c>
      <c r="B174" s="11">
        <v>45750476.190476201</v>
      </c>
    </row>
    <row r="175" spans="1:2" x14ac:dyDescent="0.3">
      <c r="A175" s="2" t="s">
        <v>2090</v>
      </c>
      <c r="B175" s="11">
        <v>46001904.761904798</v>
      </c>
    </row>
    <row r="176" spans="1:2" x14ac:dyDescent="0.3">
      <c r="A176" s="2" t="s">
        <v>2091</v>
      </c>
      <c r="B176" s="11">
        <v>46253333.333333299</v>
      </c>
    </row>
    <row r="177" spans="1:2" x14ac:dyDescent="0.3">
      <c r="A177" s="2" t="s">
        <v>2092</v>
      </c>
      <c r="B177" s="11">
        <v>46504761.904761903</v>
      </c>
    </row>
    <row r="178" spans="1:2" x14ac:dyDescent="0.3">
      <c r="A178" s="2" t="s">
        <v>2093</v>
      </c>
      <c r="B178" s="11">
        <v>46756190.4761905</v>
      </c>
    </row>
    <row r="179" spans="1:2" x14ac:dyDescent="0.3">
      <c r="A179" s="2" t="s">
        <v>2094</v>
      </c>
      <c r="B179" s="11">
        <v>47007619.047619</v>
      </c>
    </row>
    <row r="180" spans="1:2" x14ac:dyDescent="0.3">
      <c r="A180" s="2" t="s">
        <v>2095</v>
      </c>
      <c r="B180" s="11">
        <v>47259047.619047597</v>
      </c>
    </row>
    <row r="181" spans="1:2" x14ac:dyDescent="0.3">
      <c r="A181" s="2" t="s">
        <v>2096</v>
      </c>
      <c r="B181" s="11">
        <v>47510476.190476201</v>
      </c>
    </row>
    <row r="182" spans="1:2" x14ac:dyDescent="0.3">
      <c r="A182" s="2" t="s">
        <v>2085</v>
      </c>
      <c r="B182" s="11">
        <v>47761904.761904798</v>
      </c>
    </row>
    <row r="183" spans="1:2" x14ac:dyDescent="0.3">
      <c r="A183" s="2" t="s">
        <v>2086</v>
      </c>
      <c r="B183" s="11">
        <v>48013333.333333299</v>
      </c>
    </row>
    <row r="184" spans="1:2" x14ac:dyDescent="0.3">
      <c r="A184" s="2" t="s">
        <v>2087</v>
      </c>
      <c r="B184" s="11">
        <v>48264761.904761903</v>
      </c>
    </row>
    <row r="185" spans="1:2" x14ac:dyDescent="0.3">
      <c r="A185" s="2" t="s">
        <v>2088</v>
      </c>
      <c r="B185" s="11">
        <v>48516190.4761905</v>
      </c>
    </row>
    <row r="186" spans="1:2" x14ac:dyDescent="0.3">
      <c r="A186" s="2" t="s">
        <v>2089</v>
      </c>
      <c r="B186" s="11">
        <v>48767619.047619</v>
      </c>
    </row>
    <row r="187" spans="1:2" x14ac:dyDescent="0.3">
      <c r="A187" s="2" t="s">
        <v>2090</v>
      </c>
      <c r="B187" s="11">
        <v>49019047.619047597</v>
      </c>
    </row>
    <row r="188" spans="1:2" x14ac:dyDescent="0.3">
      <c r="A188" s="2" t="s">
        <v>2091</v>
      </c>
      <c r="B188" s="11">
        <v>49270476.190476201</v>
      </c>
    </row>
    <row r="189" spans="1:2" x14ac:dyDescent="0.3">
      <c r="A189" s="2" t="s">
        <v>2092</v>
      </c>
      <c r="B189" s="11">
        <v>49521904.761904798</v>
      </c>
    </row>
    <row r="190" spans="1:2" x14ac:dyDescent="0.3">
      <c r="A190" s="2" t="s">
        <v>2093</v>
      </c>
      <c r="B190" s="11">
        <v>49773333.333333299</v>
      </c>
    </row>
    <row r="191" spans="1:2" x14ac:dyDescent="0.3">
      <c r="A191" s="2" t="s">
        <v>2094</v>
      </c>
      <c r="B191" s="11">
        <v>50024761.904761903</v>
      </c>
    </row>
    <row r="192" spans="1:2" x14ac:dyDescent="0.3">
      <c r="A192" s="2" t="s">
        <v>2095</v>
      </c>
      <c r="B192" s="11">
        <v>50276190.4761905</v>
      </c>
    </row>
    <row r="193" spans="1:2" x14ac:dyDescent="0.3">
      <c r="A193" s="2" t="s">
        <v>2096</v>
      </c>
      <c r="B193" s="11">
        <v>50527619.047619</v>
      </c>
    </row>
    <row r="194" spans="1:2" x14ac:dyDescent="0.3">
      <c r="A194" s="2" t="s">
        <v>2085</v>
      </c>
      <c r="B194" s="11">
        <v>50779047.619047597</v>
      </c>
    </row>
    <row r="195" spans="1:2" x14ac:dyDescent="0.3">
      <c r="A195" s="2" t="s">
        <v>2086</v>
      </c>
      <c r="B195" s="11">
        <v>51030476.190476201</v>
      </c>
    </row>
    <row r="196" spans="1:2" x14ac:dyDescent="0.3">
      <c r="A196" s="2" t="s">
        <v>2087</v>
      </c>
      <c r="B196" s="11">
        <v>51281904.761904798</v>
      </c>
    </row>
    <row r="197" spans="1:2" x14ac:dyDescent="0.3">
      <c r="A197" s="2" t="s">
        <v>2088</v>
      </c>
      <c r="B197" s="11">
        <v>51533333.333333299</v>
      </c>
    </row>
    <row r="198" spans="1:2" x14ac:dyDescent="0.3">
      <c r="A198" s="2" t="s">
        <v>2089</v>
      </c>
      <c r="B198" s="11">
        <v>51784761.904761903</v>
      </c>
    </row>
    <row r="199" spans="1:2" x14ac:dyDescent="0.3">
      <c r="A199" s="2" t="s">
        <v>2090</v>
      </c>
      <c r="B199" s="11">
        <v>52036190.4761905</v>
      </c>
    </row>
    <row r="200" spans="1:2" x14ac:dyDescent="0.3">
      <c r="A200" s="2" t="s">
        <v>2091</v>
      </c>
      <c r="B200" s="11">
        <v>52287619.047619</v>
      </c>
    </row>
    <row r="201" spans="1:2" x14ac:dyDescent="0.3">
      <c r="A201" s="2" t="s">
        <v>2092</v>
      </c>
      <c r="B201" s="11">
        <v>52539047.619047597</v>
      </c>
    </row>
    <row r="202" spans="1:2" x14ac:dyDescent="0.3">
      <c r="A202" s="2" t="s">
        <v>2093</v>
      </c>
      <c r="B202" s="11">
        <v>52790476.190476201</v>
      </c>
    </row>
    <row r="203" spans="1:2" x14ac:dyDescent="0.3">
      <c r="A203" s="2" t="s">
        <v>2094</v>
      </c>
      <c r="B203" s="11">
        <v>53041904.761904798</v>
      </c>
    </row>
    <row r="204" spans="1:2" x14ac:dyDescent="0.3">
      <c r="A204" s="2" t="s">
        <v>2095</v>
      </c>
      <c r="B204" s="11">
        <v>53293333.333333299</v>
      </c>
    </row>
    <row r="205" spans="1:2" x14ac:dyDescent="0.3">
      <c r="A205" s="2" t="s">
        <v>2096</v>
      </c>
      <c r="B205" s="11">
        <v>53544761.904761903</v>
      </c>
    </row>
    <row r="206" spans="1:2" x14ac:dyDescent="0.3">
      <c r="A206" s="2" t="s">
        <v>2085</v>
      </c>
      <c r="B206" s="11">
        <v>53796190.4761905</v>
      </c>
    </row>
    <row r="207" spans="1:2" x14ac:dyDescent="0.3">
      <c r="A207" s="2" t="s">
        <v>2086</v>
      </c>
      <c r="B207" s="11">
        <v>54047619.047619</v>
      </c>
    </row>
    <row r="208" spans="1:2" x14ac:dyDescent="0.3">
      <c r="A208" s="2" t="s">
        <v>2087</v>
      </c>
      <c r="B208" s="11">
        <v>54299047.619047597</v>
      </c>
    </row>
    <row r="209" spans="1:2" x14ac:dyDescent="0.3">
      <c r="A209" s="2" t="s">
        <v>2088</v>
      </c>
      <c r="B209" s="11">
        <v>54550476.190476201</v>
      </c>
    </row>
    <row r="210" spans="1:2" x14ac:dyDescent="0.3">
      <c r="A210" s="2" t="s">
        <v>2089</v>
      </c>
      <c r="B210" s="11">
        <v>54801904.761904798</v>
      </c>
    </row>
    <row r="211" spans="1:2" x14ac:dyDescent="0.3">
      <c r="A211" s="2" t="s">
        <v>2090</v>
      </c>
      <c r="B211" s="11">
        <v>55053333.333333299</v>
      </c>
    </row>
    <row r="212" spans="1:2" x14ac:dyDescent="0.3">
      <c r="A212" s="2" t="s">
        <v>2091</v>
      </c>
      <c r="B212" s="11">
        <v>55304761.904761903</v>
      </c>
    </row>
    <row r="213" spans="1:2" x14ac:dyDescent="0.3">
      <c r="A213" s="2" t="s">
        <v>2092</v>
      </c>
      <c r="B213" s="11">
        <v>55556190.4761905</v>
      </c>
    </row>
    <row r="214" spans="1:2" x14ac:dyDescent="0.3">
      <c r="A214" s="2" t="s">
        <v>2093</v>
      </c>
      <c r="B214" s="11">
        <v>55807619.047619</v>
      </c>
    </row>
    <row r="215" spans="1:2" x14ac:dyDescent="0.3">
      <c r="A215" s="2" t="s">
        <v>2094</v>
      </c>
      <c r="B215" s="11">
        <v>56059047.619047597</v>
      </c>
    </row>
    <row r="216" spans="1:2" x14ac:dyDescent="0.3">
      <c r="A216" s="2" t="s">
        <v>2095</v>
      </c>
      <c r="B216" s="11">
        <v>56310476.190476201</v>
      </c>
    </row>
    <row r="217" spans="1:2" x14ac:dyDescent="0.3">
      <c r="A217" s="2" t="s">
        <v>2096</v>
      </c>
      <c r="B217" s="11">
        <v>56561904.761904798</v>
      </c>
    </row>
    <row r="218" spans="1:2" x14ac:dyDescent="0.3">
      <c r="A218" s="2" t="s">
        <v>2085</v>
      </c>
      <c r="B218" s="11">
        <v>56813333.333333299</v>
      </c>
    </row>
    <row r="219" spans="1:2" x14ac:dyDescent="0.3">
      <c r="A219" s="2" t="s">
        <v>2086</v>
      </c>
      <c r="B219" s="11">
        <v>57064761.904761903</v>
      </c>
    </row>
    <row r="220" spans="1:2" x14ac:dyDescent="0.3">
      <c r="A220" s="2" t="s">
        <v>2087</v>
      </c>
      <c r="B220" s="11">
        <v>57316190.4761905</v>
      </c>
    </row>
    <row r="221" spans="1:2" x14ac:dyDescent="0.3">
      <c r="A221" s="2" t="s">
        <v>2088</v>
      </c>
      <c r="B221" s="11">
        <v>57567619.047619</v>
      </c>
    </row>
    <row r="222" spans="1:2" x14ac:dyDescent="0.3">
      <c r="A222" s="2" t="s">
        <v>2089</v>
      </c>
      <c r="B222" s="11">
        <v>57819047.619047597</v>
      </c>
    </row>
    <row r="223" spans="1:2" x14ac:dyDescent="0.3">
      <c r="A223" s="2" t="s">
        <v>2090</v>
      </c>
      <c r="B223" s="11">
        <v>58070476.190476201</v>
      </c>
    </row>
    <row r="224" spans="1:2" x14ac:dyDescent="0.3">
      <c r="A224" s="2" t="s">
        <v>2091</v>
      </c>
      <c r="B224" s="11">
        <v>58321904.761904798</v>
      </c>
    </row>
    <row r="225" spans="1:2" x14ac:dyDescent="0.3">
      <c r="A225" s="2" t="s">
        <v>2092</v>
      </c>
      <c r="B225" s="11">
        <v>58573333.333333299</v>
      </c>
    </row>
    <row r="226" spans="1:2" x14ac:dyDescent="0.3">
      <c r="A226" s="2" t="s">
        <v>2093</v>
      </c>
      <c r="B226" s="11">
        <v>58824761.904761903</v>
      </c>
    </row>
    <row r="227" spans="1:2" x14ac:dyDescent="0.3">
      <c r="A227" s="2" t="s">
        <v>2094</v>
      </c>
      <c r="B227" s="11">
        <v>59076190.4761905</v>
      </c>
    </row>
    <row r="228" spans="1:2" x14ac:dyDescent="0.3">
      <c r="A228" s="2" t="s">
        <v>2095</v>
      </c>
      <c r="B228" s="11">
        <v>59327619.047619</v>
      </c>
    </row>
    <row r="229" spans="1:2" x14ac:dyDescent="0.3">
      <c r="A229" s="2" t="s">
        <v>2096</v>
      </c>
      <c r="B229" s="11">
        <v>59579047.619047597</v>
      </c>
    </row>
    <row r="230" spans="1:2" x14ac:dyDescent="0.3">
      <c r="A230" s="2" t="s">
        <v>2085</v>
      </c>
      <c r="B230" s="11">
        <v>59830476.190476201</v>
      </c>
    </row>
    <row r="231" spans="1:2" x14ac:dyDescent="0.3">
      <c r="A231" s="2" t="s">
        <v>2086</v>
      </c>
      <c r="B231" s="11">
        <v>60081904.761904798</v>
      </c>
    </row>
    <row r="232" spans="1:2" x14ac:dyDescent="0.3">
      <c r="A232" s="2" t="s">
        <v>2087</v>
      </c>
      <c r="B232" s="11">
        <v>60333333.333333299</v>
      </c>
    </row>
    <row r="233" spans="1:2" x14ac:dyDescent="0.3">
      <c r="A233" s="2" t="s">
        <v>2088</v>
      </c>
      <c r="B233" s="11">
        <v>60584761.904761903</v>
      </c>
    </row>
    <row r="234" spans="1:2" x14ac:dyDescent="0.3">
      <c r="A234" s="2" t="s">
        <v>2089</v>
      </c>
      <c r="B234" s="11">
        <v>60836190.4761905</v>
      </c>
    </row>
    <row r="235" spans="1:2" x14ac:dyDescent="0.3">
      <c r="A235" s="2" t="s">
        <v>2090</v>
      </c>
      <c r="B235" s="11">
        <v>61087619.047619</v>
      </c>
    </row>
    <row r="236" spans="1:2" x14ac:dyDescent="0.3">
      <c r="A236" s="2" t="s">
        <v>2091</v>
      </c>
      <c r="B236" s="11">
        <v>61339047.619047597</v>
      </c>
    </row>
    <row r="237" spans="1:2" x14ac:dyDescent="0.3">
      <c r="A237" s="2" t="s">
        <v>2092</v>
      </c>
      <c r="B237" s="11">
        <v>61590476.190476201</v>
      </c>
    </row>
    <row r="238" spans="1:2" x14ac:dyDescent="0.3">
      <c r="A238" s="2" t="s">
        <v>2093</v>
      </c>
      <c r="B238" s="11">
        <v>61841904.761904798</v>
      </c>
    </row>
    <row r="239" spans="1:2" x14ac:dyDescent="0.3">
      <c r="A239" s="2" t="s">
        <v>2094</v>
      </c>
      <c r="B239" s="11">
        <v>62093333.333333299</v>
      </c>
    </row>
    <row r="240" spans="1:2" x14ac:dyDescent="0.3">
      <c r="A240" s="2" t="s">
        <v>2095</v>
      </c>
      <c r="B240" s="11">
        <v>62344761.904761903</v>
      </c>
    </row>
    <row r="241" spans="1:2" x14ac:dyDescent="0.3">
      <c r="A241" s="2" t="s">
        <v>2096</v>
      </c>
      <c r="B241" s="11">
        <v>62596190.4761905</v>
      </c>
    </row>
    <row r="242" spans="1:2" x14ac:dyDescent="0.3">
      <c r="A242" s="2" t="s">
        <v>2085</v>
      </c>
      <c r="B242" s="11">
        <v>62847619.047619</v>
      </c>
    </row>
    <row r="243" spans="1:2" x14ac:dyDescent="0.3">
      <c r="A243" s="2" t="s">
        <v>2086</v>
      </c>
      <c r="B243" s="11">
        <v>63099047.619047597</v>
      </c>
    </row>
    <row r="244" spans="1:2" x14ac:dyDescent="0.3">
      <c r="A244" s="2" t="s">
        <v>2087</v>
      </c>
      <c r="B244" s="11">
        <v>63350476.190476201</v>
      </c>
    </row>
    <row r="245" spans="1:2" x14ac:dyDescent="0.3">
      <c r="A245" s="2" t="s">
        <v>2088</v>
      </c>
      <c r="B245" s="11">
        <v>63601904.761904798</v>
      </c>
    </row>
    <row r="246" spans="1:2" x14ac:dyDescent="0.3">
      <c r="A246" s="2" t="s">
        <v>2089</v>
      </c>
      <c r="B246" s="11">
        <v>63853333.333333299</v>
      </c>
    </row>
    <row r="247" spans="1:2" x14ac:dyDescent="0.3">
      <c r="A247" s="2" t="s">
        <v>2090</v>
      </c>
      <c r="B247" s="11">
        <v>64104761.904761903</v>
      </c>
    </row>
    <row r="248" spans="1:2" x14ac:dyDescent="0.3">
      <c r="A248" s="2" t="s">
        <v>2091</v>
      </c>
      <c r="B248" s="11">
        <v>64356190.4761905</v>
      </c>
    </row>
    <row r="249" spans="1:2" x14ac:dyDescent="0.3">
      <c r="A249" s="2" t="s">
        <v>2092</v>
      </c>
      <c r="B249" s="11">
        <v>64607619.047619</v>
      </c>
    </row>
    <row r="250" spans="1:2" x14ac:dyDescent="0.3">
      <c r="A250" s="2" t="s">
        <v>2093</v>
      </c>
      <c r="B250" s="11">
        <v>64859047.619047597</v>
      </c>
    </row>
    <row r="251" spans="1:2" x14ac:dyDescent="0.3">
      <c r="A251" s="2" t="s">
        <v>2094</v>
      </c>
      <c r="B251" s="11">
        <v>65110476.190476201</v>
      </c>
    </row>
    <row r="252" spans="1:2" x14ac:dyDescent="0.3">
      <c r="A252" s="2" t="s">
        <v>2095</v>
      </c>
      <c r="B252" s="11">
        <v>65361904.761904798</v>
      </c>
    </row>
    <row r="253" spans="1:2" x14ac:dyDescent="0.3">
      <c r="A253" s="2" t="s">
        <v>2096</v>
      </c>
      <c r="B253" s="11">
        <v>65613333.333333299</v>
      </c>
    </row>
    <row r="254" spans="1:2" x14ac:dyDescent="0.3">
      <c r="A254" s="2" t="s">
        <v>2085</v>
      </c>
      <c r="B254" s="11">
        <v>65864761.904761903</v>
      </c>
    </row>
    <row r="255" spans="1:2" x14ac:dyDescent="0.3">
      <c r="A255" s="2" t="s">
        <v>2086</v>
      </c>
      <c r="B255" s="11">
        <v>66116190.4761905</v>
      </c>
    </row>
    <row r="256" spans="1:2" x14ac:dyDescent="0.3">
      <c r="A256" s="2" t="s">
        <v>2087</v>
      </c>
      <c r="B256" s="11">
        <v>66367619.047619</v>
      </c>
    </row>
    <row r="257" spans="1:2" x14ac:dyDescent="0.3">
      <c r="A257" s="2" t="s">
        <v>2088</v>
      </c>
      <c r="B257" s="11">
        <v>66619047.619047597</v>
      </c>
    </row>
    <row r="258" spans="1:2" x14ac:dyDescent="0.3">
      <c r="A258" s="2" t="s">
        <v>2089</v>
      </c>
      <c r="B258" s="11">
        <v>66870476.190476201</v>
      </c>
    </row>
    <row r="259" spans="1:2" x14ac:dyDescent="0.3">
      <c r="A259" s="2" t="s">
        <v>2090</v>
      </c>
      <c r="B259" s="11">
        <v>67121904.761904806</v>
      </c>
    </row>
    <row r="260" spans="1:2" x14ac:dyDescent="0.3">
      <c r="A260" s="2" t="s">
        <v>2091</v>
      </c>
      <c r="B260" s="11">
        <v>67373333.333333299</v>
      </c>
    </row>
    <row r="261" spans="1:2" x14ac:dyDescent="0.3">
      <c r="A261" s="2" t="s">
        <v>2092</v>
      </c>
      <c r="B261" s="11">
        <v>67624761.904761896</v>
      </c>
    </row>
    <row r="262" spans="1:2" x14ac:dyDescent="0.3">
      <c r="A262" s="2" t="s">
        <v>2093</v>
      </c>
      <c r="B262" s="11">
        <v>67876190.476190507</v>
      </c>
    </row>
    <row r="263" spans="1:2" x14ac:dyDescent="0.3">
      <c r="A263" s="2" t="s">
        <v>2094</v>
      </c>
      <c r="B263" s="11">
        <v>68127619.047619</v>
      </c>
    </row>
    <row r="264" spans="1:2" x14ac:dyDescent="0.3">
      <c r="A264" s="2" t="s">
        <v>2095</v>
      </c>
      <c r="B264" s="11">
        <v>68379047.619047597</v>
      </c>
    </row>
    <row r="265" spans="1:2" x14ac:dyDescent="0.3">
      <c r="A265" s="2" t="s">
        <v>2096</v>
      </c>
      <c r="B265" s="11">
        <v>68630476.190476194</v>
      </c>
    </row>
    <row r="266" spans="1:2" x14ac:dyDescent="0.3">
      <c r="A266" s="2" t="s">
        <v>2085</v>
      </c>
      <c r="B266" s="11">
        <v>68881904.761904806</v>
      </c>
    </row>
    <row r="267" spans="1:2" x14ac:dyDescent="0.3">
      <c r="A267" s="2" t="s">
        <v>2086</v>
      </c>
      <c r="B267" s="11">
        <v>69133333.333333299</v>
      </c>
    </row>
    <row r="268" spans="1:2" x14ac:dyDescent="0.3">
      <c r="A268" s="2" t="s">
        <v>2087</v>
      </c>
      <c r="B268" s="11">
        <v>69384761.904761896</v>
      </c>
    </row>
    <row r="269" spans="1:2" x14ac:dyDescent="0.3">
      <c r="A269" s="2" t="s">
        <v>2088</v>
      </c>
      <c r="B269" s="11">
        <v>69636190.476190507</v>
      </c>
    </row>
    <row r="270" spans="1:2" x14ac:dyDescent="0.3">
      <c r="A270" s="2" t="s">
        <v>2089</v>
      </c>
      <c r="B270" s="11">
        <v>69887619.047619</v>
      </c>
    </row>
    <row r="271" spans="1:2" x14ac:dyDescent="0.3">
      <c r="A271" s="2" t="s">
        <v>2090</v>
      </c>
      <c r="B271" s="11">
        <v>70139047.619047597</v>
      </c>
    </row>
    <row r="272" spans="1:2" x14ac:dyDescent="0.3">
      <c r="A272" s="2" t="s">
        <v>2091</v>
      </c>
      <c r="B272" s="11">
        <v>70390476.190476194</v>
      </c>
    </row>
    <row r="273" spans="1:2" x14ac:dyDescent="0.3">
      <c r="A273" s="2" t="s">
        <v>2092</v>
      </c>
      <c r="B273" s="11">
        <v>70641904.761904806</v>
      </c>
    </row>
    <row r="274" spans="1:2" x14ac:dyDescent="0.3">
      <c r="A274" s="2" t="s">
        <v>2093</v>
      </c>
      <c r="B274" s="11">
        <v>70893333.333333299</v>
      </c>
    </row>
    <row r="275" spans="1:2" x14ac:dyDescent="0.3">
      <c r="A275" s="2" t="s">
        <v>2094</v>
      </c>
      <c r="B275" s="11">
        <v>71144761.904761896</v>
      </c>
    </row>
    <row r="276" spans="1:2" x14ac:dyDescent="0.3">
      <c r="A276" s="2" t="s">
        <v>2095</v>
      </c>
      <c r="B276" s="11">
        <v>71396190.476190507</v>
      </c>
    </row>
    <row r="277" spans="1:2" x14ac:dyDescent="0.3">
      <c r="A277" s="2" t="s">
        <v>2096</v>
      </c>
      <c r="B277" s="11">
        <v>71647619.047619</v>
      </c>
    </row>
    <row r="278" spans="1:2" x14ac:dyDescent="0.3">
      <c r="A278" s="2" t="s">
        <v>2085</v>
      </c>
      <c r="B278" s="11">
        <v>71899047.619047597</v>
      </c>
    </row>
    <row r="279" spans="1:2" x14ac:dyDescent="0.3">
      <c r="A279" s="2" t="s">
        <v>2086</v>
      </c>
      <c r="B279" s="11">
        <v>72150476.190476194</v>
      </c>
    </row>
    <row r="280" spans="1:2" x14ac:dyDescent="0.3">
      <c r="A280" s="2" t="s">
        <v>2087</v>
      </c>
      <c r="B280" s="11">
        <v>72401904.761904806</v>
      </c>
    </row>
    <row r="281" spans="1:2" x14ac:dyDescent="0.3">
      <c r="A281" s="2" t="s">
        <v>2088</v>
      </c>
      <c r="B281" s="11">
        <v>72653333.333333299</v>
      </c>
    </row>
    <row r="282" spans="1:2" x14ac:dyDescent="0.3">
      <c r="A282" s="2" t="s">
        <v>2089</v>
      </c>
      <c r="B282" s="11">
        <v>72904761.904761896</v>
      </c>
    </row>
    <row r="283" spans="1:2" x14ac:dyDescent="0.3">
      <c r="A283" s="2" t="s">
        <v>2090</v>
      </c>
      <c r="B283" s="11">
        <v>73156190.476190507</v>
      </c>
    </row>
    <row r="284" spans="1:2" x14ac:dyDescent="0.3">
      <c r="A284" s="2" t="s">
        <v>2091</v>
      </c>
      <c r="B284" s="11">
        <v>73407619.047619</v>
      </c>
    </row>
    <row r="285" spans="1:2" x14ac:dyDescent="0.3">
      <c r="A285" s="2" t="s">
        <v>2092</v>
      </c>
      <c r="B285" s="11">
        <v>73659047.619047597</v>
      </c>
    </row>
    <row r="286" spans="1:2" x14ac:dyDescent="0.3">
      <c r="A286" s="2" t="s">
        <v>2093</v>
      </c>
      <c r="B286" s="11">
        <v>73910476.190476194</v>
      </c>
    </row>
    <row r="287" spans="1:2" x14ac:dyDescent="0.3">
      <c r="A287" s="2" t="s">
        <v>2094</v>
      </c>
      <c r="B287" s="11">
        <v>74161904.761904806</v>
      </c>
    </row>
    <row r="288" spans="1:2" x14ac:dyDescent="0.3">
      <c r="A288" s="2" t="s">
        <v>2095</v>
      </c>
      <c r="B288" s="11">
        <v>74413333.333333299</v>
      </c>
    </row>
    <row r="289" spans="1:2" x14ac:dyDescent="0.3">
      <c r="A289" s="2" t="s">
        <v>2096</v>
      </c>
      <c r="B289" s="11">
        <v>74664761.904761896</v>
      </c>
    </row>
    <row r="290" spans="1:2" x14ac:dyDescent="0.3">
      <c r="A290" s="2" t="s">
        <v>2085</v>
      </c>
      <c r="B290" s="11">
        <v>74916190.476190507</v>
      </c>
    </row>
    <row r="291" spans="1:2" x14ac:dyDescent="0.3">
      <c r="A291" s="2" t="s">
        <v>2086</v>
      </c>
      <c r="B291" s="11">
        <v>75167619.047619</v>
      </c>
    </row>
    <row r="292" spans="1:2" x14ac:dyDescent="0.3">
      <c r="A292" s="2" t="s">
        <v>2087</v>
      </c>
      <c r="B292" s="11">
        <v>75419047.619047597</v>
      </c>
    </row>
    <row r="293" spans="1:2" x14ac:dyDescent="0.3">
      <c r="A293" s="2" t="s">
        <v>2088</v>
      </c>
      <c r="B293" s="11">
        <v>75670476.190476194</v>
      </c>
    </row>
    <row r="294" spans="1:2" x14ac:dyDescent="0.3">
      <c r="A294" s="2" t="s">
        <v>2089</v>
      </c>
      <c r="B294" s="11">
        <v>75921904.761904806</v>
      </c>
    </row>
    <row r="295" spans="1:2" x14ac:dyDescent="0.3">
      <c r="A295" s="2" t="s">
        <v>2090</v>
      </c>
      <c r="B295" s="11">
        <v>76173333.333333299</v>
      </c>
    </row>
    <row r="296" spans="1:2" x14ac:dyDescent="0.3">
      <c r="A296" s="2" t="s">
        <v>2091</v>
      </c>
      <c r="B296" s="11">
        <v>76424761.904761896</v>
      </c>
    </row>
    <row r="297" spans="1:2" x14ac:dyDescent="0.3">
      <c r="A297" s="2" t="s">
        <v>2092</v>
      </c>
      <c r="B297" s="11">
        <v>76676190.476190507</v>
      </c>
    </row>
    <row r="298" spans="1:2" x14ac:dyDescent="0.3">
      <c r="A298" s="2" t="s">
        <v>2093</v>
      </c>
      <c r="B298" s="11">
        <v>76927619.047619</v>
      </c>
    </row>
    <row r="299" spans="1:2" x14ac:dyDescent="0.3">
      <c r="A299" s="2" t="s">
        <v>2094</v>
      </c>
      <c r="B299" s="11">
        <v>77179047.619047597</v>
      </c>
    </row>
    <row r="300" spans="1:2" x14ac:dyDescent="0.3">
      <c r="A300" s="2" t="s">
        <v>2095</v>
      </c>
      <c r="B300" s="11">
        <v>77430476.190476194</v>
      </c>
    </row>
    <row r="301" spans="1:2" x14ac:dyDescent="0.3">
      <c r="A301" s="2" t="s">
        <v>2096</v>
      </c>
      <c r="B301" s="11">
        <v>77681904.761904806</v>
      </c>
    </row>
    <row r="302" spans="1:2" x14ac:dyDescent="0.3">
      <c r="A302" s="2" t="s">
        <v>2085</v>
      </c>
      <c r="B302" s="11">
        <v>77933333.333333299</v>
      </c>
    </row>
    <row r="303" spans="1:2" x14ac:dyDescent="0.3">
      <c r="A303" s="2" t="s">
        <v>2086</v>
      </c>
      <c r="B303" s="11">
        <v>78184761.904761896</v>
      </c>
    </row>
    <row r="304" spans="1:2" x14ac:dyDescent="0.3">
      <c r="A304" s="2" t="s">
        <v>2087</v>
      </c>
      <c r="B304" s="11">
        <v>78436190.476190507</v>
      </c>
    </row>
    <row r="305" spans="1:2" x14ac:dyDescent="0.3">
      <c r="A305" s="2" t="s">
        <v>2088</v>
      </c>
      <c r="B305" s="11">
        <v>78687619.047619</v>
      </c>
    </row>
    <row r="306" spans="1:2" x14ac:dyDescent="0.3">
      <c r="A306" s="2" t="s">
        <v>2089</v>
      </c>
      <c r="B306" s="11">
        <v>78939047.619047597</v>
      </c>
    </row>
    <row r="307" spans="1:2" x14ac:dyDescent="0.3">
      <c r="A307" s="2" t="s">
        <v>2090</v>
      </c>
      <c r="B307" s="11">
        <v>79190476.190476194</v>
      </c>
    </row>
    <row r="308" spans="1:2" x14ac:dyDescent="0.3">
      <c r="A308" s="2" t="s">
        <v>2091</v>
      </c>
      <c r="B308" s="11">
        <v>79441904.761904806</v>
      </c>
    </row>
    <row r="309" spans="1:2" x14ac:dyDescent="0.3">
      <c r="A309" s="2" t="s">
        <v>2092</v>
      </c>
      <c r="B309" s="11">
        <v>79693333.333333299</v>
      </c>
    </row>
    <row r="310" spans="1:2" x14ac:dyDescent="0.3">
      <c r="A310" s="2" t="s">
        <v>2093</v>
      </c>
      <c r="B310" s="11">
        <v>79944761.904761896</v>
      </c>
    </row>
    <row r="311" spans="1:2" x14ac:dyDescent="0.3">
      <c r="A311" s="2" t="s">
        <v>2094</v>
      </c>
      <c r="B311" s="11">
        <v>80196190.476190507</v>
      </c>
    </row>
    <row r="312" spans="1:2" x14ac:dyDescent="0.3">
      <c r="A312" s="2" t="s">
        <v>2095</v>
      </c>
      <c r="B312" s="11">
        <v>80447619.047619</v>
      </c>
    </row>
    <row r="313" spans="1:2" x14ac:dyDescent="0.3">
      <c r="A313" s="2" t="s">
        <v>2096</v>
      </c>
      <c r="B313" s="11">
        <v>80699047.619047597</v>
      </c>
    </row>
    <row r="314" spans="1:2" x14ac:dyDescent="0.3">
      <c r="A314" s="2" t="s">
        <v>2085</v>
      </c>
      <c r="B314" s="11">
        <v>80950476.190476194</v>
      </c>
    </row>
    <row r="315" spans="1:2" x14ac:dyDescent="0.3">
      <c r="A315" s="2" t="s">
        <v>2086</v>
      </c>
      <c r="B315" s="11">
        <v>81201904.761904806</v>
      </c>
    </row>
    <row r="316" spans="1:2" x14ac:dyDescent="0.3">
      <c r="A316" s="2" t="s">
        <v>2087</v>
      </c>
      <c r="B316" s="11">
        <v>81453333.333333299</v>
      </c>
    </row>
    <row r="317" spans="1:2" x14ac:dyDescent="0.3">
      <c r="A317" s="2" t="s">
        <v>2088</v>
      </c>
      <c r="B317" s="11">
        <v>81704761.904761896</v>
      </c>
    </row>
    <row r="318" spans="1:2" x14ac:dyDescent="0.3">
      <c r="A318" s="2" t="s">
        <v>2089</v>
      </c>
      <c r="B318" s="11">
        <v>81956190.476190507</v>
      </c>
    </row>
    <row r="319" spans="1:2" x14ac:dyDescent="0.3">
      <c r="A319" s="2" t="s">
        <v>2090</v>
      </c>
      <c r="B319" s="11">
        <v>82207619.047619</v>
      </c>
    </row>
    <row r="320" spans="1:2" x14ac:dyDescent="0.3">
      <c r="A320" s="2" t="s">
        <v>2091</v>
      </c>
      <c r="B320" s="11">
        <v>82459047.619047597</v>
      </c>
    </row>
    <row r="321" spans="1:2" x14ac:dyDescent="0.3">
      <c r="A321" s="2" t="s">
        <v>2092</v>
      </c>
      <c r="B321" s="11">
        <v>82710476.190476194</v>
      </c>
    </row>
    <row r="322" spans="1:2" x14ac:dyDescent="0.3">
      <c r="A322" s="2" t="s">
        <v>2093</v>
      </c>
      <c r="B322" s="11">
        <v>82961904.761904806</v>
      </c>
    </row>
    <row r="323" spans="1:2" x14ac:dyDescent="0.3">
      <c r="A323" s="2" t="s">
        <v>2094</v>
      </c>
      <c r="B323" s="11">
        <v>83213333.333333299</v>
      </c>
    </row>
    <row r="324" spans="1:2" x14ac:dyDescent="0.3">
      <c r="A324" s="2" t="s">
        <v>2095</v>
      </c>
      <c r="B324" s="11">
        <v>83464761.904761896</v>
      </c>
    </row>
    <row r="325" spans="1:2" x14ac:dyDescent="0.3">
      <c r="A325" s="2" t="s">
        <v>2096</v>
      </c>
      <c r="B325" s="11">
        <v>83716190.476190507</v>
      </c>
    </row>
    <row r="326" spans="1:2" x14ac:dyDescent="0.3">
      <c r="A326" s="2" t="s">
        <v>2085</v>
      </c>
      <c r="B326" s="11">
        <v>83967619.047619</v>
      </c>
    </row>
    <row r="327" spans="1:2" x14ac:dyDescent="0.3">
      <c r="A327" s="2" t="s">
        <v>2086</v>
      </c>
      <c r="B327" s="11">
        <v>84219047.619047597</v>
      </c>
    </row>
    <row r="328" spans="1:2" x14ac:dyDescent="0.3">
      <c r="A328" s="2" t="s">
        <v>2087</v>
      </c>
      <c r="B328" s="11">
        <v>84470476.190476194</v>
      </c>
    </row>
    <row r="329" spans="1:2" x14ac:dyDescent="0.3">
      <c r="A329" s="2" t="s">
        <v>2088</v>
      </c>
      <c r="B329" s="11">
        <v>84721904.761904806</v>
      </c>
    </row>
    <row r="330" spans="1:2" x14ac:dyDescent="0.3">
      <c r="A330" s="2" t="s">
        <v>2089</v>
      </c>
      <c r="B330" s="11">
        <v>84973333.333333299</v>
      </c>
    </row>
    <row r="331" spans="1:2" x14ac:dyDescent="0.3">
      <c r="A331" s="2" t="s">
        <v>2090</v>
      </c>
      <c r="B331" s="11">
        <v>85224761.904761896</v>
      </c>
    </row>
    <row r="332" spans="1:2" x14ac:dyDescent="0.3">
      <c r="A332" s="2" t="s">
        <v>2091</v>
      </c>
      <c r="B332" s="11">
        <v>85476190.476190507</v>
      </c>
    </row>
    <row r="333" spans="1:2" x14ac:dyDescent="0.3">
      <c r="A333" s="2" t="s">
        <v>2092</v>
      </c>
      <c r="B333" s="11">
        <v>85727619.047619</v>
      </c>
    </row>
    <row r="334" spans="1:2" x14ac:dyDescent="0.3">
      <c r="A334" s="2" t="s">
        <v>2093</v>
      </c>
      <c r="B334" s="11">
        <v>85979047.619047597</v>
      </c>
    </row>
    <row r="335" spans="1:2" x14ac:dyDescent="0.3">
      <c r="A335" s="2" t="s">
        <v>2094</v>
      </c>
      <c r="B335" s="11">
        <v>86230476.190476194</v>
      </c>
    </row>
    <row r="336" spans="1:2" x14ac:dyDescent="0.3">
      <c r="A336" s="2" t="s">
        <v>2095</v>
      </c>
      <c r="B336" s="11">
        <v>86481904.761904806</v>
      </c>
    </row>
    <row r="337" spans="1:2" x14ac:dyDescent="0.3">
      <c r="A337" s="2" t="s">
        <v>2096</v>
      </c>
      <c r="B337" s="11">
        <v>86733333.333333299</v>
      </c>
    </row>
    <row r="338" spans="1:2" x14ac:dyDescent="0.3">
      <c r="A338" s="2" t="s">
        <v>2085</v>
      </c>
      <c r="B338" s="11">
        <v>86984761.904761896</v>
      </c>
    </row>
    <row r="339" spans="1:2" x14ac:dyDescent="0.3">
      <c r="A339" s="2" t="s">
        <v>2086</v>
      </c>
      <c r="B339" s="11">
        <v>87236190.476190507</v>
      </c>
    </row>
    <row r="340" spans="1:2" x14ac:dyDescent="0.3">
      <c r="A340" s="2" t="s">
        <v>2087</v>
      </c>
      <c r="B340" s="11">
        <v>87487619.047619</v>
      </c>
    </row>
    <row r="341" spans="1:2" x14ac:dyDescent="0.3">
      <c r="A341" s="2" t="s">
        <v>2088</v>
      </c>
      <c r="B341" s="11">
        <v>87739047.619047597</v>
      </c>
    </row>
    <row r="342" spans="1:2" x14ac:dyDescent="0.3">
      <c r="A342" s="2" t="s">
        <v>2089</v>
      </c>
      <c r="B342" s="11">
        <v>87990476.190476194</v>
      </c>
    </row>
    <row r="343" spans="1:2" x14ac:dyDescent="0.3">
      <c r="A343" s="2" t="s">
        <v>2090</v>
      </c>
      <c r="B343" s="11">
        <v>88241904.761904806</v>
      </c>
    </row>
    <row r="344" spans="1:2" x14ac:dyDescent="0.3">
      <c r="A344" s="2" t="s">
        <v>2091</v>
      </c>
      <c r="B344" s="11">
        <v>88493333.333333299</v>
      </c>
    </row>
    <row r="345" spans="1:2" x14ac:dyDescent="0.3">
      <c r="A345" s="2" t="s">
        <v>2092</v>
      </c>
      <c r="B345" s="11">
        <v>88744761.904761896</v>
      </c>
    </row>
    <row r="346" spans="1:2" x14ac:dyDescent="0.3">
      <c r="A346" s="2" t="s">
        <v>2093</v>
      </c>
      <c r="B346" s="11">
        <v>88996190.476190507</v>
      </c>
    </row>
    <row r="347" spans="1:2" x14ac:dyDescent="0.3">
      <c r="A347" s="2" t="s">
        <v>2094</v>
      </c>
      <c r="B347" s="11">
        <v>89247619.047619</v>
      </c>
    </row>
    <row r="348" spans="1:2" x14ac:dyDescent="0.3">
      <c r="A348" s="2" t="s">
        <v>2095</v>
      </c>
      <c r="B348" s="11">
        <v>89499047.619047597</v>
      </c>
    </row>
    <row r="349" spans="1:2" x14ac:dyDescent="0.3">
      <c r="A349" s="2" t="s">
        <v>2096</v>
      </c>
      <c r="B349" s="11">
        <v>89750476.190476194</v>
      </c>
    </row>
    <row r="350" spans="1:2" x14ac:dyDescent="0.3">
      <c r="A350" s="2" t="s">
        <v>2085</v>
      </c>
      <c r="B350" s="11">
        <v>90001904.761904806</v>
      </c>
    </row>
    <row r="351" spans="1:2" x14ac:dyDescent="0.3">
      <c r="A351" s="2" t="s">
        <v>2086</v>
      </c>
      <c r="B351" s="11">
        <v>90253333.333333299</v>
      </c>
    </row>
    <row r="352" spans="1:2" x14ac:dyDescent="0.3">
      <c r="A352" s="2" t="s">
        <v>2087</v>
      </c>
      <c r="B352" s="11">
        <v>90504761.904761896</v>
      </c>
    </row>
    <row r="353" spans="1:2" x14ac:dyDescent="0.3">
      <c r="A353" s="2" t="s">
        <v>2088</v>
      </c>
      <c r="B353" s="11">
        <v>90756190.476190507</v>
      </c>
    </row>
    <row r="354" spans="1:2" x14ac:dyDescent="0.3">
      <c r="A354" s="2" t="s">
        <v>2089</v>
      </c>
      <c r="B354" s="11">
        <v>91007619.047619</v>
      </c>
    </row>
    <row r="355" spans="1:2" x14ac:dyDescent="0.3">
      <c r="A355" s="2" t="s">
        <v>2090</v>
      </c>
      <c r="B355" s="11">
        <v>91259047.619047597</v>
      </c>
    </row>
    <row r="356" spans="1:2" x14ac:dyDescent="0.3">
      <c r="A356" s="2" t="s">
        <v>2091</v>
      </c>
      <c r="B356" s="11">
        <v>91510476.190476194</v>
      </c>
    </row>
    <row r="357" spans="1:2" x14ac:dyDescent="0.3">
      <c r="A357" s="2" t="s">
        <v>2092</v>
      </c>
      <c r="B357" s="11">
        <v>91761904.761904806</v>
      </c>
    </row>
    <row r="358" spans="1:2" x14ac:dyDescent="0.3">
      <c r="A358" s="2" t="s">
        <v>2093</v>
      </c>
      <c r="B358" s="11">
        <v>92013333.333333299</v>
      </c>
    </row>
    <row r="359" spans="1:2" x14ac:dyDescent="0.3">
      <c r="A359" s="2" t="s">
        <v>2094</v>
      </c>
      <c r="B359" s="11">
        <v>92264761.904761896</v>
      </c>
    </row>
    <row r="360" spans="1:2" x14ac:dyDescent="0.3">
      <c r="A360" s="2" t="s">
        <v>2095</v>
      </c>
      <c r="B360" s="11">
        <v>92516190.476190507</v>
      </c>
    </row>
    <row r="361" spans="1:2" x14ac:dyDescent="0.3">
      <c r="A361" s="2" t="s">
        <v>2096</v>
      </c>
      <c r="B361" s="11">
        <v>92767619.047619</v>
      </c>
    </row>
    <row r="362" spans="1:2" x14ac:dyDescent="0.3">
      <c r="A362" s="2" t="s">
        <v>2085</v>
      </c>
      <c r="B362" s="11">
        <v>93019047.619047597</v>
      </c>
    </row>
    <row r="363" spans="1:2" x14ac:dyDescent="0.3">
      <c r="A363" s="2" t="s">
        <v>2086</v>
      </c>
      <c r="B363" s="11">
        <v>93270476.190476194</v>
      </c>
    </row>
    <row r="364" spans="1:2" x14ac:dyDescent="0.3">
      <c r="A364" s="2" t="s">
        <v>2087</v>
      </c>
      <c r="B364" s="11">
        <v>93521904.761904806</v>
      </c>
    </row>
    <row r="365" spans="1:2" x14ac:dyDescent="0.3">
      <c r="A365" s="2" t="s">
        <v>2088</v>
      </c>
      <c r="B365" s="11">
        <v>93773333.333333299</v>
      </c>
    </row>
    <row r="366" spans="1:2" x14ac:dyDescent="0.3">
      <c r="A366" s="2" t="s">
        <v>2089</v>
      </c>
      <c r="B366" s="11">
        <v>94024761.904761896</v>
      </c>
    </row>
    <row r="367" spans="1:2" x14ac:dyDescent="0.3">
      <c r="A367" s="2" t="s">
        <v>2090</v>
      </c>
      <c r="B367" s="11">
        <v>94276190.476190507</v>
      </c>
    </row>
    <row r="368" spans="1:2" x14ac:dyDescent="0.3">
      <c r="A368" s="2" t="s">
        <v>2091</v>
      </c>
      <c r="B368" s="11">
        <v>94527619.047619</v>
      </c>
    </row>
    <row r="369" spans="1:2" x14ac:dyDescent="0.3">
      <c r="A369" s="2" t="s">
        <v>2092</v>
      </c>
      <c r="B369" s="11">
        <v>94779047.619047597</v>
      </c>
    </row>
    <row r="370" spans="1:2" x14ac:dyDescent="0.3">
      <c r="A370" s="2" t="s">
        <v>2093</v>
      </c>
      <c r="B370" s="11">
        <v>95030476.190476194</v>
      </c>
    </row>
    <row r="371" spans="1:2" x14ac:dyDescent="0.3">
      <c r="A371" s="2" t="s">
        <v>2094</v>
      </c>
      <c r="B371" s="11">
        <v>95281904.761904806</v>
      </c>
    </row>
    <row r="372" spans="1:2" x14ac:dyDescent="0.3">
      <c r="A372" s="2" t="s">
        <v>2095</v>
      </c>
      <c r="B372" s="11">
        <v>95533333.333333299</v>
      </c>
    </row>
    <row r="373" spans="1:2" x14ac:dyDescent="0.3">
      <c r="A373" s="2" t="s">
        <v>2096</v>
      </c>
      <c r="B373" s="11">
        <v>95784761.904761896</v>
      </c>
    </row>
    <row r="374" spans="1:2" x14ac:dyDescent="0.3">
      <c r="A374" s="2" t="s">
        <v>2085</v>
      </c>
      <c r="B374" s="11">
        <v>96036190.476190507</v>
      </c>
    </row>
    <row r="375" spans="1:2" x14ac:dyDescent="0.3">
      <c r="A375" s="2" t="s">
        <v>2086</v>
      </c>
      <c r="B375" s="11">
        <v>96287619.047619</v>
      </c>
    </row>
    <row r="376" spans="1:2" x14ac:dyDescent="0.3">
      <c r="A376" s="2" t="s">
        <v>2087</v>
      </c>
      <c r="B376" s="11">
        <v>96539047.619047597</v>
      </c>
    </row>
    <row r="377" spans="1:2" x14ac:dyDescent="0.3">
      <c r="A377" s="2" t="s">
        <v>2088</v>
      </c>
      <c r="B377" s="11">
        <v>96790476.190476194</v>
      </c>
    </row>
    <row r="378" spans="1:2" x14ac:dyDescent="0.3">
      <c r="A378" s="2" t="s">
        <v>2089</v>
      </c>
      <c r="B378" s="11">
        <v>97041904.761904806</v>
      </c>
    </row>
    <row r="379" spans="1:2" x14ac:dyDescent="0.3">
      <c r="A379" s="2" t="s">
        <v>2090</v>
      </c>
      <c r="B379" s="11">
        <v>97293333.333333299</v>
      </c>
    </row>
    <row r="380" spans="1:2" x14ac:dyDescent="0.3">
      <c r="A380" s="2" t="s">
        <v>2091</v>
      </c>
      <c r="B380" s="11">
        <v>97544761.904761896</v>
      </c>
    </row>
    <row r="381" spans="1:2" x14ac:dyDescent="0.3">
      <c r="A381" s="2" t="s">
        <v>2092</v>
      </c>
      <c r="B381" s="11">
        <v>97796190.476190507</v>
      </c>
    </row>
    <row r="382" spans="1:2" x14ac:dyDescent="0.3">
      <c r="A382" s="2" t="s">
        <v>2093</v>
      </c>
      <c r="B382" s="11">
        <v>98047619.047619</v>
      </c>
    </row>
    <row r="383" spans="1:2" x14ac:dyDescent="0.3">
      <c r="A383" s="2" t="s">
        <v>2094</v>
      </c>
      <c r="B383" s="11">
        <v>98299047.619047597</v>
      </c>
    </row>
    <row r="384" spans="1:2" x14ac:dyDescent="0.3">
      <c r="A384" s="2" t="s">
        <v>2095</v>
      </c>
      <c r="B384" s="11">
        <v>98550476.190476194</v>
      </c>
    </row>
    <row r="385" spans="1:2" x14ac:dyDescent="0.3">
      <c r="A385" s="2" t="s">
        <v>2096</v>
      </c>
      <c r="B385" s="11">
        <v>98801904.761904806</v>
      </c>
    </row>
    <row r="386" spans="1:2" x14ac:dyDescent="0.3">
      <c r="A386" s="2" t="s">
        <v>2085</v>
      </c>
      <c r="B386" s="11">
        <v>99053333.333333299</v>
      </c>
    </row>
    <row r="387" spans="1:2" x14ac:dyDescent="0.3">
      <c r="A387" s="2" t="s">
        <v>2086</v>
      </c>
      <c r="B387" s="11">
        <v>99304761.904761896</v>
      </c>
    </row>
    <row r="388" spans="1:2" x14ac:dyDescent="0.3">
      <c r="A388" s="2" t="s">
        <v>2087</v>
      </c>
      <c r="B388" s="11">
        <v>99556190.476190507</v>
      </c>
    </row>
    <row r="389" spans="1:2" x14ac:dyDescent="0.3">
      <c r="A389" s="2" t="s">
        <v>2088</v>
      </c>
      <c r="B389" s="11">
        <v>99807619.047619</v>
      </c>
    </row>
    <row r="390" spans="1:2" x14ac:dyDescent="0.3">
      <c r="A390" s="2" t="s">
        <v>2089</v>
      </c>
      <c r="B390" s="11">
        <v>100059047.619048</v>
      </c>
    </row>
    <row r="391" spans="1:2" x14ac:dyDescent="0.3">
      <c r="A391" s="2" t="s">
        <v>2090</v>
      </c>
      <c r="B391" s="11">
        <v>100310476.190476</v>
      </c>
    </row>
    <row r="392" spans="1:2" x14ac:dyDescent="0.3">
      <c r="A392" s="2" t="s">
        <v>2091</v>
      </c>
      <c r="B392" s="11">
        <v>100561904.761905</v>
      </c>
    </row>
    <row r="393" spans="1:2" x14ac:dyDescent="0.3">
      <c r="A393" s="2" t="s">
        <v>2092</v>
      </c>
      <c r="B393" s="11">
        <v>100813333.333333</v>
      </c>
    </row>
    <row r="394" spans="1:2" x14ac:dyDescent="0.3">
      <c r="A394" s="2" t="s">
        <v>2093</v>
      </c>
      <c r="B394" s="11">
        <v>101064761.904762</v>
      </c>
    </row>
    <row r="395" spans="1:2" x14ac:dyDescent="0.3">
      <c r="A395" s="2" t="s">
        <v>2094</v>
      </c>
      <c r="B395" s="11">
        <v>101316190.476191</v>
      </c>
    </row>
    <row r="396" spans="1:2" x14ac:dyDescent="0.3">
      <c r="A396" s="2" t="s">
        <v>2095</v>
      </c>
      <c r="B396" s="11">
        <v>101567619.047619</v>
      </c>
    </row>
    <row r="397" spans="1:2" x14ac:dyDescent="0.3">
      <c r="A397" s="2" t="s">
        <v>2096</v>
      </c>
      <c r="B397" s="11">
        <v>101819047.619048</v>
      </c>
    </row>
    <row r="398" spans="1:2" x14ac:dyDescent="0.3">
      <c r="A398" s="2" t="s">
        <v>2085</v>
      </c>
      <c r="B398" s="11">
        <v>102070476.190476</v>
      </c>
    </row>
    <row r="399" spans="1:2" x14ac:dyDescent="0.3">
      <c r="A399" s="2" t="s">
        <v>2086</v>
      </c>
      <c r="B399" s="11">
        <v>102321904.761905</v>
      </c>
    </row>
    <row r="400" spans="1:2" x14ac:dyDescent="0.3">
      <c r="A400" s="2" t="s">
        <v>2087</v>
      </c>
      <c r="B400" s="11">
        <v>102573333.333333</v>
      </c>
    </row>
    <row r="401" spans="1:2" x14ac:dyDescent="0.3">
      <c r="A401" s="2" t="s">
        <v>2088</v>
      </c>
      <c r="B401" s="11">
        <v>102824761.904762</v>
      </c>
    </row>
    <row r="402" spans="1:2" x14ac:dyDescent="0.3">
      <c r="A402" s="2" t="s">
        <v>2089</v>
      </c>
      <c r="B402" s="11">
        <v>103076190.476191</v>
      </c>
    </row>
    <row r="403" spans="1:2" x14ac:dyDescent="0.3">
      <c r="A403" s="2" t="s">
        <v>2090</v>
      </c>
      <c r="B403" s="11">
        <v>103327619.047619</v>
      </c>
    </row>
    <row r="404" spans="1:2" x14ac:dyDescent="0.3">
      <c r="A404" s="2" t="s">
        <v>2091</v>
      </c>
      <c r="B404" s="11">
        <v>103579047.619048</v>
      </c>
    </row>
    <row r="405" spans="1:2" x14ac:dyDescent="0.3">
      <c r="A405" s="2" t="s">
        <v>2092</v>
      </c>
      <c r="B405" s="11">
        <v>103830476.190476</v>
      </c>
    </row>
    <row r="406" spans="1:2" x14ac:dyDescent="0.3">
      <c r="A406" s="2" t="s">
        <v>2093</v>
      </c>
      <c r="B406" s="11">
        <v>104081904.761905</v>
      </c>
    </row>
    <row r="407" spans="1:2" x14ac:dyDescent="0.3">
      <c r="A407" s="2" t="s">
        <v>2094</v>
      </c>
      <c r="B407" s="11">
        <v>104333333.333333</v>
      </c>
    </row>
    <row r="408" spans="1:2" x14ac:dyDescent="0.3">
      <c r="A408" s="2" t="s">
        <v>2095</v>
      </c>
      <c r="B408" s="11">
        <v>104584761.904762</v>
      </c>
    </row>
    <row r="409" spans="1:2" x14ac:dyDescent="0.3">
      <c r="A409" s="2" t="s">
        <v>2096</v>
      </c>
      <c r="B409" s="11">
        <v>104836190.476191</v>
      </c>
    </row>
    <row r="410" spans="1:2" x14ac:dyDescent="0.3">
      <c r="A410" s="2" t="s">
        <v>2085</v>
      </c>
      <c r="B410" s="11">
        <v>105087619.047619</v>
      </c>
    </row>
    <row r="411" spans="1:2" x14ac:dyDescent="0.3">
      <c r="A411" s="2" t="s">
        <v>2086</v>
      </c>
      <c r="B411" s="11">
        <v>105339047.619048</v>
      </c>
    </row>
    <row r="412" spans="1:2" x14ac:dyDescent="0.3">
      <c r="A412" s="2" t="s">
        <v>2087</v>
      </c>
      <c r="B412" s="11">
        <v>105590476.190476</v>
      </c>
    </row>
    <row r="413" spans="1:2" x14ac:dyDescent="0.3">
      <c r="A413" s="2" t="s">
        <v>2088</v>
      </c>
      <c r="B413" s="11">
        <v>105841904.761905</v>
      </c>
    </row>
    <row r="414" spans="1:2" x14ac:dyDescent="0.3">
      <c r="A414" s="2" t="s">
        <v>2089</v>
      </c>
      <c r="B414" s="11">
        <v>106093333.333333</v>
      </c>
    </row>
    <row r="415" spans="1:2" x14ac:dyDescent="0.3">
      <c r="A415" s="2" t="s">
        <v>2090</v>
      </c>
      <c r="B415" s="11">
        <v>106344761.904762</v>
      </c>
    </row>
    <row r="416" spans="1:2" x14ac:dyDescent="0.3">
      <c r="A416" s="2" t="s">
        <v>2091</v>
      </c>
      <c r="B416" s="11">
        <v>106596190.476191</v>
      </c>
    </row>
    <row r="417" spans="1:2" x14ac:dyDescent="0.3">
      <c r="A417" s="2" t="s">
        <v>2092</v>
      </c>
      <c r="B417" s="11">
        <v>106847619.047619</v>
      </c>
    </row>
    <row r="418" spans="1:2" x14ac:dyDescent="0.3">
      <c r="A418" s="2" t="s">
        <v>2093</v>
      </c>
      <c r="B418" s="11">
        <v>107099047.619048</v>
      </c>
    </row>
    <row r="419" spans="1:2" x14ac:dyDescent="0.3">
      <c r="A419" s="2" t="s">
        <v>2094</v>
      </c>
      <c r="B419" s="11">
        <v>107350476.190476</v>
      </c>
    </row>
    <row r="420" spans="1:2" x14ac:dyDescent="0.3">
      <c r="A420" s="2" t="s">
        <v>2095</v>
      </c>
      <c r="B420" s="11">
        <v>107601904.761905</v>
      </c>
    </row>
    <row r="421" spans="1:2" x14ac:dyDescent="0.3">
      <c r="A421" s="2" t="s">
        <v>2096</v>
      </c>
      <c r="B421" s="11">
        <v>107853333.333333</v>
      </c>
    </row>
    <row r="422" spans="1:2" x14ac:dyDescent="0.3">
      <c r="A422" s="2" t="s">
        <v>2085</v>
      </c>
      <c r="B422" s="11">
        <v>108104761.904762</v>
      </c>
    </row>
    <row r="423" spans="1:2" x14ac:dyDescent="0.3">
      <c r="A423" s="2" t="s">
        <v>2086</v>
      </c>
      <c r="B423" s="11">
        <v>108356190.476191</v>
      </c>
    </row>
    <row r="424" spans="1:2" x14ac:dyDescent="0.3">
      <c r="A424" s="2" t="s">
        <v>2087</v>
      </c>
      <c r="B424" s="11">
        <v>108607619.047619</v>
      </c>
    </row>
    <row r="425" spans="1:2" x14ac:dyDescent="0.3">
      <c r="A425" s="2" t="s">
        <v>2088</v>
      </c>
      <c r="B425" s="11">
        <v>108859047.619048</v>
      </c>
    </row>
    <row r="426" spans="1:2" x14ac:dyDescent="0.3">
      <c r="A426" s="2" t="s">
        <v>2089</v>
      </c>
      <c r="B426" s="11">
        <v>109110476.190476</v>
      </c>
    </row>
    <row r="427" spans="1:2" x14ac:dyDescent="0.3">
      <c r="A427" s="2" t="s">
        <v>2090</v>
      </c>
      <c r="B427" s="11">
        <v>109361904.761905</v>
      </c>
    </row>
    <row r="428" spans="1:2" x14ac:dyDescent="0.3">
      <c r="A428" s="2" t="s">
        <v>2091</v>
      </c>
      <c r="B428" s="11">
        <v>109613333.333333</v>
      </c>
    </row>
    <row r="429" spans="1:2" x14ac:dyDescent="0.3">
      <c r="A429" s="2" t="s">
        <v>2092</v>
      </c>
      <c r="B429" s="11">
        <v>109864761.904762</v>
      </c>
    </row>
    <row r="430" spans="1:2" x14ac:dyDescent="0.3">
      <c r="A430" s="2" t="s">
        <v>2093</v>
      </c>
      <c r="B430" s="11">
        <v>110116190.476191</v>
      </c>
    </row>
    <row r="431" spans="1:2" x14ac:dyDescent="0.3">
      <c r="A431" s="2" t="s">
        <v>2094</v>
      </c>
      <c r="B431" s="11">
        <v>110367619.047619</v>
      </c>
    </row>
    <row r="432" spans="1:2" x14ac:dyDescent="0.3">
      <c r="A432" s="2" t="s">
        <v>2095</v>
      </c>
      <c r="B432" s="11">
        <v>110619047.619048</v>
      </c>
    </row>
    <row r="433" spans="1:2" x14ac:dyDescent="0.3">
      <c r="A433" s="2" t="s">
        <v>2096</v>
      </c>
      <c r="B433" s="11">
        <v>110870476.190476</v>
      </c>
    </row>
    <row r="434" spans="1:2" x14ac:dyDescent="0.3">
      <c r="A434" s="2" t="s">
        <v>2085</v>
      </c>
      <c r="B434" s="11">
        <v>111121904.761905</v>
      </c>
    </row>
    <row r="435" spans="1:2" x14ac:dyDescent="0.3">
      <c r="A435" s="2" t="s">
        <v>2086</v>
      </c>
      <c r="B435" s="11">
        <v>111373333.333333</v>
      </c>
    </row>
    <row r="436" spans="1:2" x14ac:dyDescent="0.3">
      <c r="A436" s="2" t="s">
        <v>2087</v>
      </c>
      <c r="B436" s="11">
        <v>111624761.904762</v>
      </c>
    </row>
    <row r="437" spans="1:2" x14ac:dyDescent="0.3">
      <c r="A437" s="2" t="s">
        <v>2088</v>
      </c>
      <c r="B437" s="11">
        <v>111876190.476191</v>
      </c>
    </row>
    <row r="438" spans="1:2" x14ac:dyDescent="0.3">
      <c r="A438" s="2" t="s">
        <v>2089</v>
      </c>
      <c r="B438" s="11">
        <v>112127619.047619</v>
      </c>
    </row>
    <row r="439" spans="1:2" x14ac:dyDescent="0.3">
      <c r="A439" s="2" t="s">
        <v>2090</v>
      </c>
      <c r="B439" s="11">
        <v>112379047.619048</v>
      </c>
    </row>
    <row r="440" spans="1:2" x14ac:dyDescent="0.3">
      <c r="A440" s="2" t="s">
        <v>2091</v>
      </c>
      <c r="B440" s="11">
        <v>112630476.190476</v>
      </c>
    </row>
    <row r="441" spans="1:2" x14ac:dyDescent="0.3">
      <c r="A441" s="2" t="s">
        <v>2092</v>
      </c>
      <c r="B441" s="11">
        <v>112881904.761905</v>
      </c>
    </row>
    <row r="442" spans="1:2" x14ac:dyDescent="0.3">
      <c r="A442" s="2" t="s">
        <v>2093</v>
      </c>
      <c r="B442" s="11">
        <v>113133333.333333</v>
      </c>
    </row>
    <row r="443" spans="1:2" x14ac:dyDescent="0.3">
      <c r="A443" s="2" t="s">
        <v>2094</v>
      </c>
      <c r="B443" s="11">
        <v>113384761.904762</v>
      </c>
    </row>
    <row r="444" spans="1:2" x14ac:dyDescent="0.3">
      <c r="A444" s="2" t="s">
        <v>2095</v>
      </c>
      <c r="B444" s="11">
        <v>113636190.476191</v>
      </c>
    </row>
    <row r="445" spans="1:2" x14ac:dyDescent="0.3">
      <c r="A445" s="2" t="s">
        <v>2096</v>
      </c>
      <c r="B445" s="11">
        <v>113887619.047619</v>
      </c>
    </row>
    <row r="446" spans="1:2" x14ac:dyDescent="0.3">
      <c r="A446" s="2" t="s">
        <v>2085</v>
      </c>
      <c r="B446" s="11">
        <v>114139047.619048</v>
      </c>
    </row>
    <row r="447" spans="1:2" x14ac:dyDescent="0.3">
      <c r="A447" s="2" t="s">
        <v>2086</v>
      </c>
      <c r="B447" s="11">
        <v>114390476.190476</v>
      </c>
    </row>
    <row r="448" spans="1:2" x14ac:dyDescent="0.3">
      <c r="A448" s="2" t="s">
        <v>2087</v>
      </c>
      <c r="B448" s="11">
        <v>114641904.761905</v>
      </c>
    </row>
    <row r="449" spans="1:2" x14ac:dyDescent="0.3">
      <c r="A449" s="2" t="s">
        <v>2088</v>
      </c>
      <c r="B449" s="11">
        <v>114893333.333333</v>
      </c>
    </row>
    <row r="450" spans="1:2" x14ac:dyDescent="0.3">
      <c r="A450" s="2" t="s">
        <v>2089</v>
      </c>
      <c r="B450" s="11">
        <v>115144761.904762</v>
      </c>
    </row>
    <row r="451" spans="1:2" x14ac:dyDescent="0.3">
      <c r="A451" s="2" t="s">
        <v>2090</v>
      </c>
      <c r="B451" s="11">
        <v>115396190.476191</v>
      </c>
    </row>
    <row r="452" spans="1:2" x14ac:dyDescent="0.3">
      <c r="A452" s="2" t="s">
        <v>2091</v>
      </c>
      <c r="B452" s="11">
        <v>115647619.047619</v>
      </c>
    </row>
    <row r="453" spans="1:2" x14ac:dyDescent="0.3">
      <c r="A453" s="2" t="s">
        <v>2092</v>
      </c>
      <c r="B453" s="11">
        <v>115899047.619048</v>
      </c>
    </row>
    <row r="454" spans="1:2" x14ac:dyDescent="0.3">
      <c r="A454" s="2" t="s">
        <v>2093</v>
      </c>
      <c r="B454" s="11">
        <v>116150476.190476</v>
      </c>
    </row>
    <row r="455" spans="1:2" x14ac:dyDescent="0.3">
      <c r="A455" s="2" t="s">
        <v>2094</v>
      </c>
      <c r="B455" s="11">
        <v>116401904.761905</v>
      </c>
    </row>
    <row r="456" spans="1:2" x14ac:dyDescent="0.3">
      <c r="A456" s="2" t="s">
        <v>2095</v>
      </c>
      <c r="B456" s="11">
        <v>116653333.333333</v>
      </c>
    </row>
    <row r="457" spans="1:2" x14ac:dyDescent="0.3">
      <c r="A457" s="2" t="s">
        <v>2096</v>
      </c>
      <c r="B457" s="11">
        <v>116904761.904762</v>
      </c>
    </row>
    <row r="458" spans="1:2" x14ac:dyDescent="0.3">
      <c r="A458" s="2" t="s">
        <v>2085</v>
      </c>
      <c r="B458" s="11">
        <v>117156190.476191</v>
      </c>
    </row>
    <row r="459" spans="1:2" x14ac:dyDescent="0.3">
      <c r="A459" s="2" t="s">
        <v>2086</v>
      </c>
      <c r="B459" s="11">
        <v>117407619.047619</v>
      </c>
    </row>
    <row r="460" spans="1:2" x14ac:dyDescent="0.3">
      <c r="A460" s="2" t="s">
        <v>2087</v>
      </c>
      <c r="B460" s="11">
        <v>117659047.619048</v>
      </c>
    </row>
    <row r="461" spans="1:2" x14ac:dyDescent="0.3">
      <c r="A461" s="2" t="s">
        <v>2088</v>
      </c>
      <c r="B461" s="11">
        <v>117910476.190476</v>
      </c>
    </row>
    <row r="462" spans="1:2" x14ac:dyDescent="0.3">
      <c r="A462" s="2" t="s">
        <v>2089</v>
      </c>
      <c r="B462" s="11">
        <v>118161904.761905</v>
      </c>
    </row>
    <row r="463" spans="1:2" x14ac:dyDescent="0.3">
      <c r="A463" s="2" t="s">
        <v>2090</v>
      </c>
      <c r="B463" s="11">
        <v>118413333.333333</v>
      </c>
    </row>
    <row r="464" spans="1:2" x14ac:dyDescent="0.3">
      <c r="A464" s="2" t="s">
        <v>2091</v>
      </c>
      <c r="B464" s="11">
        <v>118664761.904762</v>
      </c>
    </row>
    <row r="465" spans="1:2" x14ac:dyDescent="0.3">
      <c r="A465" s="2" t="s">
        <v>2092</v>
      </c>
      <c r="B465" s="11">
        <v>118916190.476191</v>
      </c>
    </row>
    <row r="466" spans="1:2" x14ac:dyDescent="0.3">
      <c r="A466" s="2" t="s">
        <v>2093</v>
      </c>
      <c r="B466" s="11">
        <v>119167619.047619</v>
      </c>
    </row>
    <row r="467" spans="1:2" x14ac:dyDescent="0.3">
      <c r="A467" s="2" t="s">
        <v>2094</v>
      </c>
      <c r="B467" s="11">
        <v>119419047.619048</v>
      </c>
    </row>
    <row r="468" spans="1:2" x14ac:dyDescent="0.3">
      <c r="A468" s="2" t="s">
        <v>2095</v>
      </c>
      <c r="B468" s="11">
        <v>119670476.190476</v>
      </c>
    </row>
    <row r="469" spans="1:2" x14ac:dyDescent="0.3">
      <c r="A469" s="2" t="s">
        <v>2096</v>
      </c>
      <c r="B469" s="11">
        <v>119921904.761905</v>
      </c>
    </row>
    <row r="470" spans="1:2" x14ac:dyDescent="0.3">
      <c r="A470" s="2" t="s">
        <v>2085</v>
      </c>
      <c r="B470" s="11">
        <v>120173333.333333</v>
      </c>
    </row>
    <row r="471" spans="1:2" x14ac:dyDescent="0.3">
      <c r="A471" s="2" t="s">
        <v>2086</v>
      </c>
      <c r="B471" s="11">
        <v>120424761.904762</v>
      </c>
    </row>
    <row r="472" spans="1:2" x14ac:dyDescent="0.3">
      <c r="A472" s="2" t="s">
        <v>2087</v>
      </c>
      <c r="B472" s="11">
        <v>120676190.476191</v>
      </c>
    </row>
    <row r="473" spans="1:2" x14ac:dyDescent="0.3">
      <c r="A473" s="2" t="s">
        <v>2088</v>
      </c>
      <c r="B473" s="11">
        <v>120927619.047619</v>
      </c>
    </row>
    <row r="474" spans="1:2" x14ac:dyDescent="0.3">
      <c r="A474" s="2" t="s">
        <v>2089</v>
      </c>
      <c r="B474" s="11">
        <v>121179047.619048</v>
      </c>
    </row>
    <row r="475" spans="1:2" x14ac:dyDescent="0.3">
      <c r="A475" s="2" t="s">
        <v>2090</v>
      </c>
      <c r="B475" s="11">
        <v>121430476.190476</v>
      </c>
    </row>
    <row r="476" spans="1:2" x14ac:dyDescent="0.3">
      <c r="A476" s="2" t="s">
        <v>2091</v>
      </c>
      <c r="B476" s="11">
        <v>121681904.761905</v>
      </c>
    </row>
    <row r="477" spans="1:2" x14ac:dyDescent="0.3">
      <c r="A477" s="2" t="s">
        <v>2092</v>
      </c>
      <c r="B477" s="11">
        <v>121933333.333333</v>
      </c>
    </row>
    <row r="478" spans="1:2" x14ac:dyDescent="0.3">
      <c r="A478" s="2" t="s">
        <v>2093</v>
      </c>
      <c r="B478" s="11">
        <v>122184761.904762</v>
      </c>
    </row>
    <row r="479" spans="1:2" x14ac:dyDescent="0.3">
      <c r="A479" s="2" t="s">
        <v>2094</v>
      </c>
      <c r="B479" s="11">
        <v>122436190.476191</v>
      </c>
    </row>
    <row r="480" spans="1:2" x14ac:dyDescent="0.3">
      <c r="A480" s="2" t="s">
        <v>2095</v>
      </c>
      <c r="B480" s="11">
        <v>122687619.047619</v>
      </c>
    </row>
    <row r="481" spans="1:2" x14ac:dyDescent="0.3">
      <c r="A481" s="2" t="s">
        <v>2096</v>
      </c>
      <c r="B481" s="11">
        <v>122939047.619048</v>
      </c>
    </row>
    <row r="482" spans="1:2" x14ac:dyDescent="0.3">
      <c r="A482" s="2" t="s">
        <v>2085</v>
      </c>
      <c r="B482" s="11">
        <v>123190476.190476</v>
      </c>
    </row>
    <row r="483" spans="1:2" x14ac:dyDescent="0.3">
      <c r="A483" s="2" t="s">
        <v>2086</v>
      </c>
      <c r="B483" s="11">
        <v>123441904.761905</v>
      </c>
    </row>
    <row r="484" spans="1:2" x14ac:dyDescent="0.3">
      <c r="A484" s="2" t="s">
        <v>2087</v>
      </c>
      <c r="B484" s="11">
        <v>123693333.333333</v>
      </c>
    </row>
    <row r="485" spans="1:2" x14ac:dyDescent="0.3">
      <c r="A485" s="2" t="s">
        <v>2088</v>
      </c>
      <c r="B485" s="11">
        <v>123944761.904762</v>
      </c>
    </row>
    <row r="486" spans="1:2" x14ac:dyDescent="0.3">
      <c r="A486" s="2" t="s">
        <v>2089</v>
      </c>
      <c r="B486" s="11">
        <v>124196190.476191</v>
      </c>
    </row>
    <row r="487" spans="1:2" x14ac:dyDescent="0.3">
      <c r="A487" s="2" t="s">
        <v>2090</v>
      </c>
      <c r="B487" s="11">
        <v>124447619.047619</v>
      </c>
    </row>
    <row r="488" spans="1:2" x14ac:dyDescent="0.3">
      <c r="A488" s="2" t="s">
        <v>2091</v>
      </c>
      <c r="B488" s="11">
        <v>124699047.619048</v>
      </c>
    </row>
    <row r="489" spans="1:2" x14ac:dyDescent="0.3">
      <c r="A489" s="2" t="s">
        <v>2092</v>
      </c>
      <c r="B489" s="11">
        <v>124950476.190476</v>
      </c>
    </row>
    <row r="490" spans="1:2" x14ac:dyDescent="0.3">
      <c r="A490" s="2" t="s">
        <v>2093</v>
      </c>
      <c r="B490" s="11">
        <v>125201904.761905</v>
      </c>
    </row>
    <row r="491" spans="1:2" x14ac:dyDescent="0.3">
      <c r="A491" s="2" t="s">
        <v>2094</v>
      </c>
      <c r="B491" s="11">
        <v>125453333.333333</v>
      </c>
    </row>
    <row r="492" spans="1:2" x14ac:dyDescent="0.3">
      <c r="A492" s="2" t="s">
        <v>2095</v>
      </c>
      <c r="B492" s="11">
        <v>125704761.904762</v>
      </c>
    </row>
    <row r="493" spans="1:2" x14ac:dyDescent="0.3">
      <c r="A493" s="2" t="s">
        <v>2096</v>
      </c>
      <c r="B493" s="11">
        <v>125956190.476191</v>
      </c>
    </row>
    <row r="494" spans="1:2" x14ac:dyDescent="0.3">
      <c r="A494" s="2" t="s">
        <v>2085</v>
      </c>
      <c r="B494" s="11">
        <v>126207619.047619</v>
      </c>
    </row>
    <row r="495" spans="1:2" x14ac:dyDescent="0.3">
      <c r="A495" s="2" t="s">
        <v>2086</v>
      </c>
      <c r="B495" s="11">
        <v>126459047.619048</v>
      </c>
    </row>
    <row r="496" spans="1:2" x14ac:dyDescent="0.3">
      <c r="A496" s="2" t="s">
        <v>2087</v>
      </c>
      <c r="B496" s="11">
        <v>126710476.190476</v>
      </c>
    </row>
    <row r="497" spans="1:2" x14ac:dyDescent="0.3">
      <c r="A497" s="2" t="s">
        <v>2088</v>
      </c>
      <c r="B497" s="11">
        <v>126961904.761905</v>
      </c>
    </row>
    <row r="498" spans="1:2" x14ac:dyDescent="0.3">
      <c r="A498" s="2" t="s">
        <v>2089</v>
      </c>
      <c r="B498" s="11">
        <v>127213333.333333</v>
      </c>
    </row>
    <row r="499" spans="1:2" x14ac:dyDescent="0.3">
      <c r="A499" s="2" t="s">
        <v>2090</v>
      </c>
      <c r="B499" s="11">
        <v>127464761.904762</v>
      </c>
    </row>
    <row r="500" spans="1:2" x14ac:dyDescent="0.3">
      <c r="A500" s="2" t="s">
        <v>2091</v>
      </c>
      <c r="B500" s="11">
        <v>127716190.476191</v>
      </c>
    </row>
    <row r="501" spans="1:2" x14ac:dyDescent="0.3">
      <c r="A501" s="2" t="s">
        <v>2092</v>
      </c>
      <c r="B501" s="11">
        <v>127967619.047619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D01B-9771-4CA3-A98D-E9269FFA5808}">
  <dimension ref="A3:B9"/>
  <sheetViews>
    <sheetView workbookViewId="0">
      <selection activeCell="O21" sqref="O21"/>
    </sheetView>
  </sheetViews>
  <sheetFormatPr defaultRowHeight="14.4" x14ac:dyDescent="0.3"/>
  <cols>
    <col min="1" max="1" width="12.5546875" bestFit="1" customWidth="1"/>
    <col min="2" max="2" width="16.44140625" bestFit="1" customWidth="1"/>
  </cols>
  <sheetData>
    <row r="3" spans="1:2" x14ac:dyDescent="0.3">
      <c r="A3" s="38" t="s">
        <v>2129</v>
      </c>
      <c r="B3" t="s">
        <v>2131</v>
      </c>
    </row>
    <row r="4" spans="1:2" x14ac:dyDescent="0.3">
      <c r="A4" s="39" t="s">
        <v>583</v>
      </c>
      <c r="B4" s="14">
        <v>55018.393669994999</v>
      </c>
    </row>
    <row r="5" spans="1:2" x14ac:dyDescent="0.3">
      <c r="A5" s="39" t="s">
        <v>567</v>
      </c>
      <c r="B5" s="14">
        <v>586825.11339893215</v>
      </c>
    </row>
    <row r="6" spans="1:2" x14ac:dyDescent="0.3">
      <c r="A6" s="39" t="s">
        <v>560</v>
      </c>
      <c r="B6" s="14">
        <v>12493511.709929336</v>
      </c>
    </row>
    <row r="7" spans="1:2" x14ac:dyDescent="0.3">
      <c r="A7" s="39" t="s">
        <v>575</v>
      </c>
      <c r="B7" s="14">
        <v>2332948.3667401997</v>
      </c>
    </row>
    <row r="8" spans="1:2" x14ac:dyDescent="0.3">
      <c r="A8" s="39" t="s">
        <v>572</v>
      </c>
      <c r="B8" s="14">
        <v>642112.93084499624</v>
      </c>
    </row>
    <row r="9" spans="1:2" x14ac:dyDescent="0.3">
      <c r="A9" s="39" t="s">
        <v>2130</v>
      </c>
      <c r="B9" s="14">
        <v>16110416.514583457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4161-0A7B-4602-B37F-B0E4E3797AF8}">
  <dimension ref="A1:AK103"/>
  <sheetViews>
    <sheetView topLeftCell="A82" zoomScale="93" workbookViewId="0">
      <selection activeCell="G116" sqref="G116"/>
    </sheetView>
  </sheetViews>
  <sheetFormatPr defaultRowHeight="14.4" x14ac:dyDescent="0.3"/>
  <cols>
    <col min="1" max="1" width="15.44140625" bestFit="1" customWidth="1"/>
    <col min="2" max="2" width="10.77734375" bestFit="1" customWidth="1"/>
    <col min="3" max="3" width="11.5546875" bestFit="1" customWidth="1"/>
    <col min="4" max="4" width="12.6640625" bestFit="1" customWidth="1"/>
    <col min="5" max="5" width="12.6640625" customWidth="1"/>
    <col min="6" max="6" width="19" bestFit="1" customWidth="1"/>
    <col min="7" max="7" width="14.33203125" bestFit="1" customWidth="1"/>
    <col min="8" max="8" width="13" bestFit="1" customWidth="1"/>
    <col min="9" max="9" width="16.44140625" bestFit="1" customWidth="1"/>
    <col min="10" max="10" width="11.5546875" bestFit="1" customWidth="1"/>
    <col min="11" max="11" width="14.6640625" bestFit="1" customWidth="1"/>
    <col min="12" max="12" width="13.77734375" bestFit="1" customWidth="1"/>
    <col min="13" max="13" width="19.5546875" bestFit="1" customWidth="1"/>
    <col min="14" max="14" width="23.77734375" bestFit="1" customWidth="1"/>
    <col min="15" max="15" width="13" bestFit="1" customWidth="1"/>
    <col min="16" max="16" width="13.21875" bestFit="1" customWidth="1"/>
    <col min="17" max="17" width="15" bestFit="1" customWidth="1"/>
    <col min="18" max="18" width="10" bestFit="1" customWidth="1"/>
    <col min="19" max="19" width="10.33203125" bestFit="1" customWidth="1"/>
    <col min="20" max="20" width="6.44140625" bestFit="1" customWidth="1"/>
    <col min="21" max="21" width="14.33203125" bestFit="1" customWidth="1"/>
    <col min="22" max="22" width="12.21875" bestFit="1" customWidth="1"/>
    <col min="23" max="24" width="13" bestFit="1" customWidth="1"/>
    <col min="25" max="25" width="12.21875" bestFit="1" customWidth="1"/>
    <col min="36" max="36" width="13" bestFit="1" customWidth="1"/>
    <col min="37" max="37" width="16.44140625" bestFit="1" customWidth="1"/>
  </cols>
  <sheetData>
    <row r="1" spans="1:14" x14ac:dyDescent="0.3">
      <c r="A1" s="16" t="s">
        <v>2106</v>
      </c>
      <c r="B1" s="16" t="s">
        <v>2107</v>
      </c>
      <c r="C1" s="16" t="s">
        <v>2108</v>
      </c>
      <c r="D1" s="16" t="s">
        <v>2109</v>
      </c>
      <c r="E1" s="16"/>
      <c r="F1" s="16" t="s">
        <v>2110</v>
      </c>
      <c r="G1" s="17" t="s">
        <v>555</v>
      </c>
      <c r="H1" s="18" t="s">
        <v>2106</v>
      </c>
      <c r="I1" s="18" t="s">
        <v>2107</v>
      </c>
      <c r="J1" s="17" t="s">
        <v>2111</v>
      </c>
      <c r="K1" s="18" t="s">
        <v>2097</v>
      </c>
      <c r="L1" s="17" t="s">
        <v>2106</v>
      </c>
      <c r="M1" s="17" t="s">
        <v>2107</v>
      </c>
      <c r="N1" s="17" t="s">
        <v>2111</v>
      </c>
    </row>
    <row r="2" spans="1:14" x14ac:dyDescent="0.3">
      <c r="A2" s="37">
        <f>SUM(Order!S:S)</f>
        <v>16791801.974388164</v>
      </c>
      <c r="B2" s="11">
        <f>SUM(Order!U:U)</f>
        <v>3888538.5669451947</v>
      </c>
      <c r="C2" s="2">
        <f>COUNTA(Order!A:A)-1</f>
        <v>500</v>
      </c>
      <c r="D2" s="11">
        <f>SUM(Order!H:H)</f>
        <v>1699.7599039615834</v>
      </c>
      <c r="E2" s="11"/>
      <c r="F2" s="2">
        <f>A2/C2</f>
        <v>33583.603948776326</v>
      </c>
      <c r="G2" s="4" t="s">
        <v>560</v>
      </c>
      <c r="H2" s="13">
        <f>SUMIF(Order!M:M,G2,Order!S:S)</f>
        <v>12493511.709929336</v>
      </c>
      <c r="I2" s="13">
        <f>SUMIF(Order!M:M,Analysis!G2,Order!U:U)</f>
        <v>2308697.3233747231</v>
      </c>
      <c r="J2" s="13">
        <f>SUMIF(Order!M:M,G2,Order!H:H)</f>
        <v>521.96086434573783</v>
      </c>
      <c r="K2" s="19" t="s">
        <v>559</v>
      </c>
      <c r="L2" s="13">
        <f>SUMIF(Order!L:L,Analysis!K2,Order!T:T)</f>
        <v>7687278.6554621812</v>
      </c>
      <c r="M2" s="13">
        <f>SUMIF(Order!L:L,K2,Order!U:U)</f>
        <v>1257768.025797209</v>
      </c>
      <c r="N2" s="11">
        <f>SUMIF(Order!L:L,K2,Order!H:H)</f>
        <v>183.03044417767094</v>
      </c>
    </row>
    <row r="3" spans="1:14" x14ac:dyDescent="0.3">
      <c r="B3" s="14"/>
      <c r="G3" s="1" t="s">
        <v>575</v>
      </c>
      <c r="H3" s="13">
        <f>SUMIF(Order!M:M,G3,Order!S:S)</f>
        <v>2332948.3667401997</v>
      </c>
      <c r="I3" s="13">
        <f>SUMIF(Order!M:M,Analysis!G3,Order!U:U)</f>
        <v>770711.72808473918</v>
      </c>
      <c r="J3" s="13">
        <f>SUMIF(Order!M:M,G3,Order!H:H)</f>
        <v>328.69344537815107</v>
      </c>
      <c r="K3" s="19" t="s">
        <v>562</v>
      </c>
      <c r="L3" s="13">
        <f>SUMIF(Order!L:L,Analysis!K3,Order!T:T)</f>
        <v>2165938.8235294106</v>
      </c>
      <c r="M3" s="13">
        <f>SUMIF(Order!L:L,K3,Order!U:U)</f>
        <v>858722.65157545335</v>
      </c>
      <c r="N3" s="11">
        <f>SUMIF(Order!L:L,K3,Order!H:H)</f>
        <v>154.70991596638649</v>
      </c>
    </row>
    <row r="4" spans="1:14" x14ac:dyDescent="0.3">
      <c r="B4" s="14"/>
      <c r="G4" s="1" t="s">
        <v>567</v>
      </c>
      <c r="H4" s="13">
        <f>SUMIF(Order!M:M,G4,Order!S:S)</f>
        <v>586825.11339893215</v>
      </c>
      <c r="I4" s="13">
        <f>SUMIF(Order!M:M,Analysis!G4,Order!U:U)</f>
        <v>264060.45553578716</v>
      </c>
      <c r="J4" s="13">
        <f>SUMIF(Order!M:M,G4,Order!H:H)</f>
        <v>351.21651860744254</v>
      </c>
      <c r="K4" s="19" t="s">
        <v>564</v>
      </c>
      <c r="L4" s="13">
        <f>SUMIF(Order!L:L,Analysis!K4,Order!T:T)</f>
        <v>331596.90756302502</v>
      </c>
      <c r="M4" s="13">
        <f>SUMIF(Order!L:L,K4,Order!U:U)</f>
        <v>192206.64600206187</v>
      </c>
      <c r="N4" s="11">
        <f>SUMIF(Order!L:L,K4,Order!H:H)</f>
        <v>184.22050420168054</v>
      </c>
    </row>
    <row r="5" spans="1:14" x14ac:dyDescent="0.3">
      <c r="G5" s="1" t="s">
        <v>572</v>
      </c>
      <c r="H5" s="13">
        <f>SUMIF(Order!M:M,G5,Order!S:S)</f>
        <v>642112.93084499624</v>
      </c>
      <c r="I5" s="13">
        <f>SUMIF(Order!M:M,Analysis!G5,Order!U:U)</f>
        <v>287730.27538281167</v>
      </c>
      <c r="J5" s="13">
        <f>SUMIF(Order!M:M,G5,Order!H:H)</f>
        <v>161.08302521008392</v>
      </c>
      <c r="K5" s="19" t="s">
        <v>574</v>
      </c>
      <c r="L5" s="13">
        <f>SUMIF(Order!L:L,Analysis!K5,Order!T:T)</f>
        <v>731075.29411764641</v>
      </c>
      <c r="M5" s="13">
        <f>SUMIF(Order!L:L,K5,Order!U:U)</f>
        <v>346827.63365016552</v>
      </c>
      <c r="N5" s="11">
        <f>SUMIF(Order!L:L,K5,Order!H:H)</f>
        <v>162.4611764705881</v>
      </c>
    </row>
    <row r="6" spans="1:14" x14ac:dyDescent="0.3">
      <c r="G6" s="1" t="s">
        <v>583</v>
      </c>
      <c r="H6" s="13">
        <f>SUMIF(Order!M:M,G6,Order!S:S)</f>
        <v>55018.393669994999</v>
      </c>
      <c r="I6" s="13">
        <f>SUMIF(Order!M:M,Analysis!G6,Order!U:U)</f>
        <v>23141.089468314363</v>
      </c>
      <c r="J6" s="13">
        <f>SUMIF(Order!M:M,G6,Order!H:H)</f>
        <v>177.09613445378139</v>
      </c>
      <c r="K6" s="19" t="s">
        <v>577</v>
      </c>
      <c r="L6" s="13">
        <f>SUMIF(Order!L:L,Analysis!K6,Order!T:T)</f>
        <v>831161.34453781438</v>
      </c>
      <c r="M6" s="13">
        <f>SUMIF(Order!L:L,K6,Order!U:U)</f>
        <v>423884.09443457366</v>
      </c>
      <c r="N6" s="11">
        <f>SUMIF(Order!L:L,K6,Order!H:H)</f>
        <v>166.23226890756288</v>
      </c>
    </row>
    <row r="7" spans="1:14" x14ac:dyDescent="0.3">
      <c r="K7" s="19" t="s">
        <v>566</v>
      </c>
      <c r="L7" s="13">
        <f>SUMIF(Order!L:L,Analysis!K7,Order!T:T)</f>
        <v>111253.64705882347</v>
      </c>
      <c r="M7" s="13">
        <f>SUMIF(Order!L:L,K7,Order!U:U)</f>
        <v>100262.96707464152</v>
      </c>
      <c r="N7" s="11">
        <f>SUMIF(Order!L:L,K7,Order!H:H)</f>
        <v>158.93378151260492</v>
      </c>
    </row>
    <row r="8" spans="1:14" x14ac:dyDescent="0.3">
      <c r="K8" s="19" t="s">
        <v>569</v>
      </c>
      <c r="L8" s="13">
        <f>SUMIF(Order!L:L,Analysis!K8,Order!T:T)</f>
        <v>211511.01080432162</v>
      </c>
      <c r="M8" s="13">
        <f>SUMIF(Order!L:L,K8,Order!U:U)</f>
        <v>163797.48846114561</v>
      </c>
      <c r="N8" s="11">
        <f>SUMIF(Order!L:L,K8,Order!H:H)</f>
        <v>192.28273709483776</v>
      </c>
    </row>
    <row r="9" spans="1:14" x14ac:dyDescent="0.3">
      <c r="K9" s="19" t="s">
        <v>571</v>
      </c>
      <c r="L9" s="13">
        <f>SUMIF(Order!L:L,Analysis!K9,Order!T:T)</f>
        <v>354382.65546218469</v>
      </c>
      <c r="M9" s="13">
        <f>SUMIF(Order!L:L,K9,Order!U:U)</f>
        <v>287730.27538281167</v>
      </c>
      <c r="N9" s="11">
        <f>SUMIF(Order!L:L,K9,Order!H:H)</f>
        <v>161.08302521008392</v>
      </c>
    </row>
    <row r="10" spans="1:14" x14ac:dyDescent="0.3">
      <c r="K10" s="19" t="s">
        <v>582</v>
      </c>
      <c r="L10" s="13">
        <f>SUMIF(Order!L:L,Analysis!K10,Order!T:T)</f>
        <v>31877.304201680643</v>
      </c>
      <c r="M10" s="13">
        <f>SUMIF(Order!L:L,K10,Order!U:U)</f>
        <v>23141.089468314363</v>
      </c>
      <c r="N10" s="11">
        <f>SUMIF(Order!L:L,K10,Order!H:H)</f>
        <v>177.09613445378139</v>
      </c>
    </row>
    <row r="11" spans="1:14" x14ac:dyDescent="0.3">
      <c r="K11" s="19"/>
      <c r="L11" s="13"/>
    </row>
    <row r="13" spans="1:14" x14ac:dyDescent="0.3">
      <c r="D13" s="20"/>
      <c r="E13" s="20"/>
      <c r="F13" s="20"/>
      <c r="G13" s="20"/>
      <c r="H13" s="20"/>
    </row>
    <row r="14" spans="1:14" x14ac:dyDescent="0.3">
      <c r="D14" s="20"/>
      <c r="E14" s="20"/>
      <c r="F14" s="20"/>
      <c r="G14" s="20"/>
      <c r="H14" s="20"/>
    </row>
    <row r="15" spans="1:14" x14ac:dyDescent="0.3">
      <c r="D15" s="20"/>
      <c r="E15" s="20"/>
      <c r="F15" s="20"/>
      <c r="G15" s="20"/>
      <c r="H15" s="20"/>
    </row>
    <row r="16" spans="1:14" x14ac:dyDescent="0.3">
      <c r="D16" s="20"/>
      <c r="E16" s="20"/>
      <c r="F16" s="20"/>
      <c r="G16" s="20"/>
      <c r="H16" s="20"/>
    </row>
    <row r="19" spans="1:18" x14ac:dyDescent="0.3">
      <c r="A19" s="23" t="s">
        <v>4</v>
      </c>
      <c r="B19" s="23" t="s">
        <v>2114</v>
      </c>
      <c r="C19" s="21" t="s">
        <v>2106</v>
      </c>
      <c r="D19" s="21" t="s">
        <v>2107</v>
      </c>
      <c r="E19" s="21" t="s">
        <v>2112</v>
      </c>
      <c r="F19" s="22" t="s">
        <v>2113</v>
      </c>
      <c r="G19" s="22" t="s">
        <v>2124</v>
      </c>
    </row>
    <row r="20" spans="1:18" x14ac:dyDescent="0.3">
      <c r="A20" s="2" t="s">
        <v>14</v>
      </c>
      <c r="B20" s="2" t="str">
        <f>_xlfn.XLOOKUP(A20,Employees!A:A,Employees!B:B)</f>
        <v>Amit</v>
      </c>
      <c r="C20" s="11">
        <f>SUMIF(Order!E:E,A20,Order!S:S)</f>
        <v>10172861.303886831</v>
      </c>
      <c r="D20" s="11">
        <f>SUMIF(Order!E:E,A20,Order!U:U)</f>
        <v>1642926.5475843148</v>
      </c>
      <c r="E20">
        <f>_xlfn.XLOOKUP(A20,Order!E:E,Targets!B:B)</f>
        <v>2500000</v>
      </c>
      <c r="F20" s="24">
        <f>C20/E20</f>
        <v>4.0691445215547324</v>
      </c>
      <c r="G20" s="2" t="str">
        <f>IF(E20&gt;=2600000,"Achieved","Not Achieved")</f>
        <v>Not Achieved</v>
      </c>
    </row>
    <row r="21" spans="1:18" x14ac:dyDescent="0.3">
      <c r="A21" s="2" t="s">
        <v>27</v>
      </c>
      <c r="B21" s="2" t="str">
        <f>_xlfn.XLOOKUP(A21,Employees!A:A,Employees!B:B)</f>
        <v>Rahul</v>
      </c>
      <c r="C21" s="11">
        <f>SUMIF(Order!E:E,A21,Order!S:S)</f>
        <v>2090187.028935977</v>
      </c>
      <c r="D21" s="11">
        <f>SUMIF(Order!E:E,A21,Order!U:U)</f>
        <v>637704.58187715511</v>
      </c>
      <c r="E21">
        <f>_xlfn.XLOOKUP(A21,Order!E:E,Targets!B:B)</f>
        <v>3000000</v>
      </c>
      <c r="F21" s="24">
        <f t="shared" ref="F21:F24" si="0">C21/E21</f>
        <v>0.69672900964532569</v>
      </c>
      <c r="G21" s="2" t="str">
        <f t="shared" ref="G21:G24" si="1">IF(E21&gt;=2600000,"Achieved","Not Achieved")</f>
        <v>Achieved</v>
      </c>
    </row>
    <row r="22" spans="1:18" x14ac:dyDescent="0.3">
      <c r="A22" s="2" t="s">
        <v>21</v>
      </c>
      <c r="B22" s="2" t="str">
        <f>_xlfn.XLOOKUP(A22,Employees!A:A,Employees!B:B)</f>
        <v>Priya</v>
      </c>
      <c r="C22" s="11">
        <f>SUMIF(Order!E:E,A22,Order!S:S)</f>
        <v>492779.54744794039</v>
      </c>
      <c r="D22" s="11">
        <f>SUMIF(Order!E:E,A22,Order!U:U)</f>
        <v>222848.05261000516</v>
      </c>
      <c r="E22">
        <f>_xlfn.XLOOKUP(A22,Order!E:E,Targets!B:B)</f>
        <v>2800000</v>
      </c>
      <c r="F22" s="24">
        <f t="shared" si="0"/>
        <v>0.17599269551712157</v>
      </c>
      <c r="G22" s="2" t="str">
        <f t="shared" si="1"/>
        <v>Achieved</v>
      </c>
    </row>
    <row r="23" spans="1:18" x14ac:dyDescent="0.3">
      <c r="A23" s="2" t="s">
        <v>38</v>
      </c>
      <c r="B23" s="2" t="str">
        <f>_xlfn.XLOOKUP(A23,Employees!A:A,Employees!B:B)</f>
        <v>Neha</v>
      </c>
      <c r="C23" s="11">
        <f>SUMIF(Order!E:E,A23,Order!S:S)</f>
        <v>1261445.5106464219</v>
      </c>
      <c r="D23" s="11">
        <f>SUMIF(Order!E:E,A23,Order!U:U)</f>
        <v>507572.67031028809</v>
      </c>
      <c r="E23">
        <f>_xlfn.XLOOKUP(A23,Order!E:E,Targets!B:B)</f>
        <v>3200000</v>
      </c>
      <c r="F23" s="24">
        <f t="shared" si="0"/>
        <v>0.39420172207700688</v>
      </c>
      <c r="G23" s="2" t="str">
        <f t="shared" si="1"/>
        <v>Achieved</v>
      </c>
    </row>
    <row r="24" spans="1:18" x14ac:dyDescent="0.3">
      <c r="A24" s="2" t="s">
        <v>44</v>
      </c>
      <c r="B24" s="2" t="str">
        <f>_xlfn.XLOOKUP(A24,Employees!A:A,Employees!B:B)</f>
        <v>Rohit</v>
      </c>
      <c r="C24" s="11">
        <f>SUMIF(Order!E:E,A24,Order!S:S)</f>
        <v>2774528.5834709965</v>
      </c>
      <c r="D24" s="11">
        <f>SUMIF(Order!E:E,A24,Order!U:U)</f>
        <v>877486.71456343401</v>
      </c>
      <c r="E24">
        <f>_xlfn.XLOOKUP(A24,Order!E:E,Targets!B:B)</f>
        <v>3800000</v>
      </c>
      <c r="F24" s="24">
        <f t="shared" si="0"/>
        <v>0.73013910091342016</v>
      </c>
      <c r="G24" s="2" t="str">
        <f t="shared" si="1"/>
        <v>Achieved</v>
      </c>
    </row>
    <row r="25" spans="1:18" x14ac:dyDescent="0.3">
      <c r="F25" s="2"/>
      <c r="G25" s="11"/>
    </row>
    <row r="28" spans="1:18" x14ac:dyDescent="0.3">
      <c r="C28" s="25"/>
      <c r="D28" s="25"/>
    </row>
    <row r="31" spans="1:18" x14ac:dyDescent="0.3">
      <c r="B31" s="27" t="s">
        <v>5</v>
      </c>
      <c r="C31" s="27" t="s">
        <v>2106</v>
      </c>
      <c r="D31" s="27" t="s">
        <v>2107</v>
      </c>
      <c r="E31" s="27" t="s">
        <v>2115</v>
      </c>
      <c r="G31" s="18" t="s">
        <v>2</v>
      </c>
      <c r="H31" s="18" t="s">
        <v>2116</v>
      </c>
      <c r="I31" s="18" t="s">
        <v>2117</v>
      </c>
      <c r="J31" s="18" t="s">
        <v>2115</v>
      </c>
      <c r="K31" s="18" t="s">
        <v>2106</v>
      </c>
      <c r="L31" s="18" t="s">
        <v>2107</v>
      </c>
      <c r="N31" s="31" t="s">
        <v>2125</v>
      </c>
      <c r="P31" s="32" t="s">
        <v>2117</v>
      </c>
      <c r="Q31" s="33" t="s">
        <v>2115</v>
      </c>
      <c r="R31" s="33" t="s">
        <v>2106</v>
      </c>
    </row>
    <row r="32" spans="1:18" x14ac:dyDescent="0.3">
      <c r="B32" s="1" t="s">
        <v>15</v>
      </c>
      <c r="C32" s="13">
        <f>SUMIF(Order!F:F,B32,Order!T:T)</f>
        <v>5792471.4352941122</v>
      </c>
      <c r="D32" s="13">
        <f>SUMIF(Order!F:F,B32,Order!U:U)</f>
        <v>1672716.1354216705</v>
      </c>
      <c r="E32" s="1">
        <f>COUNTIF(Order!F:F,B32)</f>
        <v>172</v>
      </c>
      <c r="G32" s="2" t="s">
        <v>12</v>
      </c>
      <c r="H32" s="2" t="str">
        <f>_xlfn.XLOOKUP(Analysis!G35,Customers!A:A,Customers!B:B)</f>
        <v>Rahul</v>
      </c>
      <c r="I32" s="2" t="str">
        <f>_xlfn.XLOOKUP(Analysis!G32,Customers!A:A,Customers!E:E)</f>
        <v>New</v>
      </c>
      <c r="J32" s="2">
        <f>COUNTIF(Order!C:C,G32)</f>
        <v>40</v>
      </c>
      <c r="K32" s="11">
        <f>SUMIF(Order!C:C,G32,Order!T:T)</f>
        <v>3875387.8319327692</v>
      </c>
      <c r="L32" s="11">
        <f>SUMIF(Order!C:C,G32,Order!U:U)</f>
        <v>754054.36649337469</v>
      </c>
      <c r="N32" s="2" t="str">
        <f>INDEX($H$32:$H$46,MATCH(LARGE($K$32:$K$46,ROWS(H$32:N32)),$K$32:$K$46,0))</f>
        <v>Rahul</v>
      </c>
      <c r="P32" s="20" t="s">
        <v>1081</v>
      </c>
      <c r="Q32" s="1">
        <f>SUMIF(Analysis!I32:I46,P32,Analysis!J32:J46)</f>
        <v>274</v>
      </c>
      <c r="R32" s="2">
        <f>SUMIF(I32:I46,P32,K32:K46)</f>
        <v>10586130.331812713</v>
      </c>
    </row>
    <row r="33" spans="2:37" x14ac:dyDescent="0.3">
      <c r="B33" s="1" t="s">
        <v>22</v>
      </c>
      <c r="C33" s="13">
        <f>SUMIF(Order!F:F,B33,Order!T:T)</f>
        <v>3426598.1234093583</v>
      </c>
      <c r="D33" s="13">
        <f>SUMIF(Order!F:F,B33,Order!U:U)</f>
        <v>1008247.1390896598</v>
      </c>
      <c r="E33" s="1">
        <f>COUNTIF(Order!F:F,B33)</f>
        <v>118</v>
      </c>
      <c r="G33" s="2" t="s">
        <v>60</v>
      </c>
      <c r="H33" s="2" t="str">
        <f>_xlfn.XLOOKUP(Analysis!G36,Customers!A:A,Customers!B:B)</f>
        <v>Rohit</v>
      </c>
      <c r="I33" s="2" t="str">
        <f>_xlfn.XLOOKUP(Analysis!G42,Customers!A:A,Customers!E:E)</f>
        <v>New</v>
      </c>
      <c r="J33" s="2">
        <f>COUNTIF(Order!C:C,G33)</f>
        <v>31</v>
      </c>
      <c r="K33" s="11">
        <f>SUMIF(Order!C:C,G33,Order!T:T)</f>
        <v>3270029.1764705847</v>
      </c>
      <c r="L33" s="11">
        <f>SUMIF(Order!C:C,G33,Order!U:U)</f>
        <v>559950.95724019432</v>
      </c>
      <c r="N33" s="2" t="str">
        <f>INDEX($H$32:$H$46,MATCH(LARGE($K$32:$K$46,ROWS(H$32:N33)),$K$32:$K$46,0))</f>
        <v>Rohit</v>
      </c>
      <c r="P33" s="20" t="s">
        <v>1084</v>
      </c>
      <c r="Q33" s="1">
        <f>SUMIF(Analysis!I33:I47,P33,Analysis!J33:J47)</f>
        <v>226</v>
      </c>
      <c r="R33" s="2">
        <f>SUMIF(I33:I47,P33,K33:K47)</f>
        <v>2317133.0756302504</v>
      </c>
    </row>
    <row r="34" spans="2:37" x14ac:dyDescent="0.3">
      <c r="B34" s="1" t="s">
        <v>39</v>
      </c>
      <c r="C34" s="13">
        <f>SUMIF(Order!F:F,B34,Order!T:T)</f>
        <v>2503160.1008403325</v>
      </c>
      <c r="D34" s="13">
        <f>SUMIF(Order!F:F,B34,Order!U:U)</f>
        <v>576228.21638223226</v>
      </c>
      <c r="E34" s="1">
        <f>COUNTIF(Order!F:F,B34)</f>
        <v>70</v>
      </c>
      <c r="G34" s="1" t="s">
        <v>36</v>
      </c>
      <c r="H34" s="2" t="str">
        <f>_xlfn.XLOOKUP(Analysis!G37,Customers!A:A,Customers!B:B)</f>
        <v>Karan</v>
      </c>
      <c r="I34" s="2" t="str">
        <f>_xlfn.XLOOKUP(Analysis!G37,Customers!A:A,Customers!E:E)</f>
        <v>New</v>
      </c>
      <c r="J34" s="2">
        <f>COUNTIF(Order!C:C,G34)</f>
        <v>31</v>
      </c>
      <c r="K34" s="11">
        <f>SUMIF(Order!C:C,G34,Order!T:T)</f>
        <v>1830504.4705882338</v>
      </c>
      <c r="L34" s="11">
        <f>SUMIF(Order!C:C,G34,Order!U:U)</f>
        <v>487475.25469941349</v>
      </c>
      <c r="N34" s="2" t="str">
        <f>INDEX($H$32:$H$46,MATCH(LARGE($K$32:$K$46,ROWS(H$32:N34)),$K$32:$K$46,0))</f>
        <v>Karan</v>
      </c>
    </row>
    <row r="35" spans="2:37" x14ac:dyDescent="0.3">
      <c r="B35" s="1" t="s">
        <v>28</v>
      </c>
      <c r="C35" s="13">
        <f>SUMIF(Order!F:F,B35,Order!T:T)</f>
        <v>8760.2218487394875</v>
      </c>
      <c r="D35" s="13">
        <f>SUMIF(Order!F:F,B35,Order!U:U)</f>
        <v>6393.2136324270814</v>
      </c>
      <c r="E35" s="1">
        <f>COUNTIF(Order!F:F,B35)</f>
        <v>15</v>
      </c>
      <c r="G35" s="2" t="s">
        <v>19</v>
      </c>
      <c r="H35" s="2" t="str">
        <f>_xlfn.XLOOKUP(Analysis!G33,Customers!A:A,Customers!B:B)</f>
        <v>Arjun</v>
      </c>
      <c r="I35" s="2" t="str">
        <f>_xlfn.XLOOKUP(Analysis!G33,Customers!A:A,Customers!E:E)</f>
        <v>New</v>
      </c>
      <c r="J35" s="2">
        <f>COUNTIF(Order!C:C,G35)</f>
        <v>40</v>
      </c>
      <c r="K35" s="11">
        <f>SUMIF(Order!C:C,G35,Order!T:T)</f>
        <v>560040.55702280893</v>
      </c>
      <c r="L35" s="11">
        <f>SUMIF(Order!C:C,G35,Order!U:U)</f>
        <v>261302.15401369138</v>
      </c>
      <c r="N35" s="2" t="str">
        <f>INDEX($H$32:$H$46,MATCH(LARGE($K$32:$K$46,ROWS(H$32:N35)),$K$32:$K$46,0))</f>
        <v>Arjun</v>
      </c>
    </row>
    <row r="36" spans="2:37" x14ac:dyDescent="0.3">
      <c r="B36" s="1" t="s">
        <v>41</v>
      </c>
      <c r="C36" s="13">
        <f>SUMIF(Order!F:F,B36,Order!T:T)</f>
        <v>940008.11428571329</v>
      </c>
      <c r="D36" s="13">
        <f>SUMIF(Order!F:F,B36,Order!U:U)</f>
        <v>475333.23907701403</v>
      </c>
      <c r="E36" s="1">
        <f>COUNTIF(Order!F:F,B36)</f>
        <v>78</v>
      </c>
      <c r="G36" s="1" t="s">
        <v>34</v>
      </c>
      <c r="H36" s="2" t="str">
        <f>_xlfn.XLOOKUP(Analysis!G36,Customers!A:A,Customers!B:B)</f>
        <v>Rohit</v>
      </c>
      <c r="I36" s="2" t="str">
        <f>_xlfn.XLOOKUP(Analysis!G36,Customers!A:A,Customers!E:E)</f>
        <v>New</v>
      </c>
      <c r="J36" s="2">
        <f>COUNTIF(Order!C:C,G36)</f>
        <v>39</v>
      </c>
      <c r="K36" s="11">
        <f>SUMIF(Order!C:C,G36,Order!T:T)</f>
        <v>540318.33949579787</v>
      </c>
      <c r="L36" s="11">
        <f>SUMIF(Order!C:C,G36,Order!U:U)</f>
        <v>267305.45655905642</v>
      </c>
      <c r="N36" s="2" t="str">
        <f>INDEX($H$32:$H$46,MATCH(LARGE($K$32:$K$46,ROWS(H$32:N36)),$K$32:$K$46,0))</f>
        <v>Rohit</v>
      </c>
      <c r="W36" s="38" t="s">
        <v>2129</v>
      </c>
      <c r="X36" t="s">
        <v>2131</v>
      </c>
    </row>
    <row r="37" spans="2:37" x14ac:dyDescent="0.3">
      <c r="B37" s="1" t="s">
        <v>52</v>
      </c>
      <c r="C37" s="13">
        <f>SUMIF(Order!F:F,B37,Order!T:T)</f>
        <v>232265.41176470561</v>
      </c>
      <c r="D37" s="13">
        <f>SUMIF(Order!F:F,B37,Order!U:U)</f>
        <v>149620.6233421932</v>
      </c>
      <c r="E37" s="1">
        <f>COUNTIF(Order!F:F,B37)</f>
        <v>47</v>
      </c>
      <c r="G37" s="1" t="s">
        <v>46</v>
      </c>
      <c r="H37" s="2" t="str">
        <f>_xlfn.XLOOKUP(Analysis!G38,Customers!A:A,Customers!B:B)</f>
        <v>Simran</v>
      </c>
      <c r="I37" s="2" t="str">
        <f>_xlfn.XLOOKUP(Analysis!G38,Customers!A:A,Customers!E:E)</f>
        <v>Returning</v>
      </c>
      <c r="J37" s="2">
        <f>COUNTIF(Order!C:C,G37)</f>
        <v>31</v>
      </c>
      <c r="K37" s="11">
        <f>SUMIF(Order!C:C,G37,Order!T:T)</f>
        <v>530708.97478991549</v>
      </c>
      <c r="L37" s="11">
        <f>SUMIF(Order!C:C,G37,Order!U:U)</f>
        <v>237775.15939450584</v>
      </c>
      <c r="N37" s="2" t="str">
        <f>INDEX($H$32:$H$46,MATCH(LARGE($K$32:$K$46,ROWS(H$32:N37)),$K$32:$K$46,0))</f>
        <v>Simran</v>
      </c>
      <c r="W37" s="39" t="s">
        <v>15</v>
      </c>
      <c r="X37" s="14">
        <v>5792471.4352941122</v>
      </c>
    </row>
    <row r="38" spans="2:37" x14ac:dyDescent="0.3">
      <c r="B38" s="1" t="s">
        <v>41</v>
      </c>
      <c r="C38" s="13">
        <f>SUMIF(Order!F:F,B38,Order!T:T)</f>
        <v>940008.11428571329</v>
      </c>
      <c r="D38" s="13">
        <f>SUMIF(Order!F:F,B38,Order!U:U)</f>
        <v>475333.23907701403</v>
      </c>
      <c r="E38" s="1">
        <f>COUNTIF(Order!F:F,B38)</f>
        <v>78</v>
      </c>
      <c r="F38" s="26"/>
      <c r="G38" s="2" t="s">
        <v>57</v>
      </c>
      <c r="H38" s="2" t="str">
        <f>_xlfn.XLOOKUP(Analysis!G41,Customers!A:A,Customers!B:B)</f>
        <v>Neha</v>
      </c>
      <c r="I38" s="2" t="str">
        <f>_xlfn.XLOOKUP(Analysis!G41,Customers!A:A,Customers!E:E)</f>
        <v>Returning</v>
      </c>
      <c r="J38" s="2">
        <f>COUNTIF(Order!C:C,G38)</f>
        <v>31</v>
      </c>
      <c r="K38" s="11">
        <f>SUMIF(Order!C:C,G38,Order!T:T)</f>
        <v>519221.5126050415</v>
      </c>
      <c r="L38" s="11">
        <f>SUMIF(Order!C:C,G38,Order!U:U)</f>
        <v>262998.18787543237</v>
      </c>
      <c r="N38" s="2" t="str">
        <f>INDEX($H$32:$H$46,MATCH(LARGE($K$32:$K$46,ROWS(H$32:N38)),$K$32:$K$46,0))</f>
        <v>Neha</v>
      </c>
      <c r="W38" s="39" t="s">
        <v>39</v>
      </c>
      <c r="X38" s="14">
        <v>2503160.1008403325</v>
      </c>
    </row>
    <row r="39" spans="2:37" x14ac:dyDescent="0.3">
      <c r="G39" s="2" t="s">
        <v>62</v>
      </c>
      <c r="H39" s="2" t="str">
        <f>_xlfn.XLOOKUP(Analysis!G43,Customers!A:A,Customers!B:B)</f>
        <v>Shreya</v>
      </c>
      <c r="I39" s="2" t="str">
        <f>_xlfn.XLOOKUP(Analysis!G43,Customers!A:A,Customers!E:E)</f>
        <v>Returning</v>
      </c>
      <c r="J39" s="2">
        <f>COUNTIF(Order!C:C,G39)</f>
        <v>31</v>
      </c>
      <c r="K39" s="11">
        <f>SUMIF(Order!C:C,G39,Order!T:T)</f>
        <v>414467.36806722661</v>
      </c>
      <c r="L39" s="11">
        <f>SUMIF(Order!C:C,G39,Order!U:U)</f>
        <v>179840.07661549305</v>
      </c>
      <c r="N39" s="2" t="str">
        <f>INDEX($H$32:$H$46,MATCH(LARGE($K$32:$K$46,ROWS(H$32:N39)),$K$32:$K$46,0))</f>
        <v>Shreya</v>
      </c>
      <c r="W39" s="39" t="s">
        <v>52</v>
      </c>
      <c r="X39" s="14">
        <v>232265.41176470561</v>
      </c>
    </row>
    <row r="40" spans="2:37" x14ac:dyDescent="0.3">
      <c r="G40" s="2" t="s">
        <v>68</v>
      </c>
      <c r="H40" s="2" t="str">
        <f>_xlfn.XLOOKUP(Analysis!G46,Customers!A:A,Customers!B:B)</f>
        <v>Pooja</v>
      </c>
      <c r="I40" s="2" t="str">
        <f>_xlfn.XLOOKUP(Analysis!G46,Customers!A:A,Customers!E:E)</f>
        <v>Returning</v>
      </c>
      <c r="J40" s="2">
        <f>COUNTIF(Order!C:C,G40)</f>
        <v>24</v>
      </c>
      <c r="K40" s="11">
        <f>SUMIF(Order!C:C,G40,Order!T:T)</f>
        <v>391515.29411764676</v>
      </c>
      <c r="L40" s="11">
        <f>SUMIF(Order!C:C,G40,Order!U:U)</f>
        <v>188629.03928027672</v>
      </c>
      <c r="N40" s="2" t="str">
        <f>INDEX($H$32:$H$46,MATCH(LARGE($K$32:$K$46,ROWS(H$32:N40)),$K$32:$K$46,0))</f>
        <v>Pooja</v>
      </c>
      <c r="W40" s="39" t="s">
        <v>28</v>
      </c>
      <c r="X40" s="14">
        <v>8760.2218487394875</v>
      </c>
    </row>
    <row r="41" spans="2:37" x14ac:dyDescent="0.3">
      <c r="G41" s="4" t="s">
        <v>32</v>
      </c>
      <c r="H41" s="2" t="str">
        <f>_xlfn.XLOOKUP(Analysis!G35,Customers!A:A,Customers!B:B)</f>
        <v>Rahul</v>
      </c>
      <c r="I41" s="2" t="str">
        <f>_xlfn.XLOOKUP(Analysis!G35,Customers!A:A,Customers!E:E)</f>
        <v>Returning</v>
      </c>
      <c r="J41" s="2">
        <f>COUNTIF(Order!C:C,G41)</f>
        <v>39</v>
      </c>
      <c r="K41" s="11">
        <f>SUMIF(Order!C:C,G41,Order!T:T)</f>
        <v>322926.28571428551</v>
      </c>
      <c r="L41" s="11">
        <f>SUMIF(Order!C:C,G41,Order!U:U)</f>
        <v>202901.72004270871</v>
      </c>
      <c r="N41" s="2" t="str">
        <f>INDEX($H$32:$H$46,MATCH(LARGE($K$32:$K$46,ROWS(H$32:N41)),$K$32:$K$46,0))</f>
        <v>Rahul</v>
      </c>
      <c r="W41" s="39" t="s">
        <v>41</v>
      </c>
      <c r="X41" s="14">
        <v>1880016.2285714266</v>
      </c>
    </row>
    <row r="42" spans="2:37" x14ac:dyDescent="0.3">
      <c r="G42" s="2" t="s">
        <v>54</v>
      </c>
      <c r="H42" s="2" t="str">
        <f>_xlfn.XLOOKUP(Analysis!G40,Customers!A:A,Customers!B:B)</f>
        <v>Varun</v>
      </c>
      <c r="I42" s="2" t="str">
        <f>_xlfn.XLOOKUP(Analysis!G40,Customers!A:A,Customers!E:E)</f>
        <v>New</v>
      </c>
      <c r="J42" s="2">
        <f>COUNTIF(Order!C:C,G42)</f>
        <v>31</v>
      </c>
      <c r="K42" s="11">
        <f>SUMIF(Order!C:C,G42,Order!T:T)</f>
        <v>224868.57142857125</v>
      </c>
      <c r="L42" s="11">
        <f>SUMIF(Order!C:C,G42,Order!U:U)</f>
        <v>170461.24090129213</v>
      </c>
      <c r="W42" s="39" t="s">
        <v>22</v>
      </c>
      <c r="X42" s="14">
        <v>3426598.1234093583</v>
      </c>
    </row>
    <row r="43" spans="2:37" x14ac:dyDescent="0.3">
      <c r="G43" s="2" t="s">
        <v>66</v>
      </c>
      <c r="H43" s="2" t="str">
        <f>_xlfn.XLOOKUP(Analysis!G45,Customers!A:A,Customers!B:B)</f>
        <v>Mohit</v>
      </c>
      <c r="I43" s="2" t="str">
        <f>_xlfn.XLOOKUP(Analysis!G45,Customers!A:A,Customers!E:E)</f>
        <v>New</v>
      </c>
      <c r="J43" s="2">
        <f>COUNTIF(Order!C:C,G43)</f>
        <v>31</v>
      </c>
      <c r="K43" s="11">
        <f>SUMIF(Order!C:C,G43,Order!T:T)</f>
        <v>206077.98319327712</v>
      </c>
      <c r="L43" s="11">
        <f>SUMIF(Order!C:C,G43,Order!U:U)</f>
        <v>134209.70936628757</v>
      </c>
      <c r="W43" s="39" t="s">
        <v>2130</v>
      </c>
      <c r="X43" s="14">
        <v>13843271.521728674</v>
      </c>
    </row>
    <row r="44" spans="2:37" x14ac:dyDescent="0.3">
      <c r="G44" s="2" t="s">
        <v>25</v>
      </c>
      <c r="H44" s="2" t="str">
        <f>_xlfn.XLOOKUP(Analysis!G34,Customers!A:A,Customers!B:B)</f>
        <v>Anjali</v>
      </c>
      <c r="I44" s="2" t="str">
        <f>_xlfn.XLOOKUP(Analysis!G34,Customers!A:A,Customers!E:E)</f>
        <v>Returning</v>
      </c>
      <c r="J44" s="2">
        <f>COUNTIF(Order!C:C,G44)</f>
        <v>39</v>
      </c>
      <c r="K44" s="11">
        <f>SUMIF(Order!C:C,G44,Order!T:T)</f>
        <v>79245.936134453717</v>
      </c>
      <c r="L44" s="11">
        <f>SUMIF(Order!C:C,G44,Order!U:U)</f>
        <v>65682.469522152329</v>
      </c>
    </row>
    <row r="45" spans="2:37" x14ac:dyDescent="0.3">
      <c r="G45" s="2" t="s">
        <v>64</v>
      </c>
      <c r="H45" s="2" t="str">
        <f>_xlfn.XLOOKUP(Analysis!G44,Customers!A:A,Customers!B:B)</f>
        <v>Priya</v>
      </c>
      <c r="I45" s="2" t="str">
        <f>_xlfn.XLOOKUP(Analysis!G44,Customers!A:A,Customers!E:E)</f>
        <v>New</v>
      </c>
      <c r="J45" s="2">
        <f>COUNTIF(Order!C:C,G45)</f>
        <v>31</v>
      </c>
      <c r="K45" s="11">
        <f>SUMIF(Order!C:C,G45,Order!T:T)</f>
        <v>78903.401680672207</v>
      </c>
      <c r="L45" s="11">
        <f>SUMIF(Order!C:C,G45,Order!U:U)</f>
        <v>63381.665846253753</v>
      </c>
    </row>
    <row r="46" spans="2:37" x14ac:dyDescent="0.3">
      <c r="G46" s="2" t="s">
        <v>50</v>
      </c>
      <c r="H46" s="2" t="str">
        <f>_xlfn.XLOOKUP(Analysis!G39,Customers!A:A,Customers!B:B)</f>
        <v>Riya</v>
      </c>
      <c r="I46" s="2" t="str">
        <f>_xlfn.XLOOKUP(Analysis!G39,Customers!A:A,Customers!E:E)</f>
        <v>Returning</v>
      </c>
      <c r="J46" s="2">
        <f>COUNTIF(Order!C:C,G46)</f>
        <v>31</v>
      </c>
      <c r="K46" s="11">
        <f>SUMIF(Order!C:C,G46,Order!T:T)</f>
        <v>59047.704201680615</v>
      </c>
      <c r="L46" s="11">
        <f>SUMIF(Order!C:C,G46,Order!U:U)</f>
        <v>52571.109095063861</v>
      </c>
      <c r="AJ46" s="38" t="s">
        <v>2129</v>
      </c>
      <c r="AK46" t="s">
        <v>2131</v>
      </c>
    </row>
    <row r="47" spans="2:37" x14ac:dyDescent="0.3">
      <c r="AJ47" s="39" t="s">
        <v>1081</v>
      </c>
      <c r="AK47" s="14">
        <v>10586130.331812713</v>
      </c>
    </row>
    <row r="48" spans="2:37" x14ac:dyDescent="0.3">
      <c r="AJ48" s="39" t="s">
        <v>1084</v>
      </c>
      <c r="AK48" s="14">
        <v>2317133.0756302504</v>
      </c>
    </row>
    <row r="49" spans="1:37" x14ac:dyDescent="0.3">
      <c r="A49" s="18" t="s">
        <v>2097</v>
      </c>
      <c r="B49" s="17" t="s">
        <v>2106</v>
      </c>
      <c r="C49" s="17" t="s">
        <v>2107</v>
      </c>
      <c r="D49" s="17" t="s">
        <v>2111</v>
      </c>
      <c r="AJ49" s="39" t="s">
        <v>2130</v>
      </c>
      <c r="AK49" s="14">
        <v>12903263.407442965</v>
      </c>
    </row>
    <row r="50" spans="1:37" x14ac:dyDescent="0.3">
      <c r="A50" s="19" t="s">
        <v>559</v>
      </c>
      <c r="B50" s="13">
        <f>SUMIF(Order!L:L,Analysis!A50,Order!T:T)</f>
        <v>7687278.6554621812</v>
      </c>
      <c r="C50" s="13">
        <f>SUMIF(Order!L:L,Analysis!A50,Order!U:U)</f>
        <v>1257768.025797209</v>
      </c>
      <c r="D50" s="11">
        <f>SUMIF(Order!L:L,A50,Order!H:H)</f>
        <v>183.03044417767094</v>
      </c>
    </row>
    <row r="51" spans="1:37" x14ac:dyDescent="0.3">
      <c r="A51" s="19" t="s">
        <v>562</v>
      </c>
      <c r="B51" s="13">
        <f>SUMIF(Order!L:L,Analysis!A51,Order!T:T)</f>
        <v>2165938.8235294106</v>
      </c>
      <c r="C51" s="13">
        <f>SUMIF(Order!L:L,Analysis!A51,Order!U:U)</f>
        <v>858722.65157545335</v>
      </c>
      <c r="D51" s="11">
        <f>SUMIF(Order!L:L,A51,Order!H:H)</f>
        <v>154.70991596638649</v>
      </c>
    </row>
    <row r="52" spans="1:37" x14ac:dyDescent="0.3">
      <c r="A52" s="19" t="s">
        <v>564</v>
      </c>
      <c r="B52" s="13">
        <f>SUMIF(Order!L:L,Analysis!A52,Order!T:T)</f>
        <v>331596.90756302502</v>
      </c>
      <c r="C52" s="13">
        <f>SUMIF(Order!L:L,Analysis!A52,Order!U:U)</f>
        <v>192206.64600206187</v>
      </c>
      <c r="D52" s="11">
        <f>SUMIF(Order!L:L,A52,Order!H:H)</f>
        <v>184.22050420168054</v>
      </c>
    </row>
    <row r="53" spans="1:37" x14ac:dyDescent="0.3">
      <c r="A53" s="19" t="s">
        <v>574</v>
      </c>
      <c r="B53" s="13">
        <f>SUMIF(Order!L:L,Analysis!A53,Order!T:T)</f>
        <v>731075.29411764641</v>
      </c>
      <c r="C53" s="13">
        <f>SUMIF(Order!L:L,Analysis!A53,Order!U:U)</f>
        <v>346827.63365016552</v>
      </c>
      <c r="D53" s="11">
        <f>SUMIF(Order!L:L,A53,Order!H:H)</f>
        <v>162.4611764705881</v>
      </c>
    </row>
    <row r="54" spans="1:37" x14ac:dyDescent="0.3">
      <c r="A54" s="19" t="s">
        <v>577</v>
      </c>
      <c r="B54" s="13">
        <f>SUMIF(Order!L:L,Analysis!A54,Order!T:T)</f>
        <v>831161.34453781438</v>
      </c>
      <c r="C54" s="13">
        <f>SUMIF(Order!L:L,Analysis!A54,Order!U:U)</f>
        <v>423884.09443457366</v>
      </c>
      <c r="D54" s="11">
        <f>SUMIF(Order!L:L,A54,Order!H:H)</f>
        <v>166.23226890756288</v>
      </c>
    </row>
    <row r="55" spans="1:37" x14ac:dyDescent="0.3">
      <c r="A55" s="19" t="s">
        <v>566</v>
      </c>
      <c r="B55" s="13">
        <f>SUMIF(Order!L:L,Analysis!A55,Order!T:T)</f>
        <v>111253.64705882347</v>
      </c>
      <c r="C55" s="13">
        <f>SUMIF(Order!L:L,Analysis!A55,Order!U:U)</f>
        <v>100262.96707464152</v>
      </c>
      <c r="D55" s="11">
        <f>SUMIF(Order!L:L,A55,Order!H:H)</f>
        <v>158.93378151260492</v>
      </c>
      <c r="M55" s="35" t="s">
        <v>2126</v>
      </c>
      <c r="N55" s="35" t="s">
        <v>2127</v>
      </c>
      <c r="O55" s="36" t="s">
        <v>2128</v>
      </c>
    </row>
    <row r="56" spans="1:37" x14ac:dyDescent="0.3">
      <c r="A56" s="19" t="s">
        <v>569</v>
      </c>
      <c r="B56" s="13">
        <f>SUMIF(Order!L:L,Analysis!A56,Order!T:T)</f>
        <v>211511.01080432162</v>
      </c>
      <c r="C56" s="13">
        <f>SUMIF(Order!L:L,Analysis!A56,Order!U:U)</f>
        <v>163797.48846114561</v>
      </c>
      <c r="D56" s="11">
        <f>SUMIF(Order!L:L,A56,Order!H:H)</f>
        <v>192.28273709483776</v>
      </c>
      <c r="M56" s="34">
        <f>AVERAGE(Order!J:J)</f>
        <v>2.1363528451380578</v>
      </c>
      <c r="N56" s="2">
        <f>COUNTIF(Order!K:K,"Returned")/COUNTA(Order!A:A)</f>
        <v>0.17165668662674652</v>
      </c>
      <c r="O56" s="2">
        <f>COUNTIF(Order!K:K,"Cancelled")/COUNTA(Order!K:K)</f>
        <v>4.590818363273453E-2</v>
      </c>
    </row>
    <row r="57" spans="1:37" x14ac:dyDescent="0.3">
      <c r="A57" s="19" t="s">
        <v>571</v>
      </c>
      <c r="B57" s="13">
        <f>SUMIF(Order!L:L,Analysis!A57,Order!T:T)</f>
        <v>354382.65546218469</v>
      </c>
      <c r="C57" s="13">
        <f>SUMIF(Order!L:L,Analysis!A57,Order!U:U)</f>
        <v>287730.27538281167</v>
      </c>
      <c r="D57" s="11">
        <f>SUMIF(Order!L:L,A57,Order!H:H)</f>
        <v>161.08302521008392</v>
      </c>
    </row>
    <row r="58" spans="1:37" x14ac:dyDescent="0.3">
      <c r="A58" s="19" t="s">
        <v>582</v>
      </c>
      <c r="B58" s="13">
        <f>SUMIF(Order!L:L,Analysis!A58,Order!T:T)</f>
        <v>31877.304201680643</v>
      </c>
      <c r="C58" s="13">
        <f>SUMIF(Order!L:L,Analysis!A58,Order!U:U)</f>
        <v>23141.089468314363</v>
      </c>
      <c r="D58" s="11">
        <f>SUMIF(Order!L:L,A58,Order!H:H)</f>
        <v>177.09613445378139</v>
      </c>
    </row>
    <row r="59" spans="1:37" x14ac:dyDescent="0.3">
      <c r="A59" s="19" t="s">
        <v>579</v>
      </c>
      <c r="B59" s="13">
        <f>SUMIF(Order!L:L,Analysis!A59,Order!T:T)</f>
        <v>447187.76470588194</v>
      </c>
      <c r="C59" s="13">
        <f>SUMIF(Order!L:L,Analysis!A59,Order!U:U)</f>
        <v>234197.69509882043</v>
      </c>
      <c r="D59" s="11">
        <f>SUMIF(Order!L:L,A59,Order!H:H)</f>
        <v>159.70991596638635</v>
      </c>
    </row>
    <row r="61" spans="1:37" ht="28.8" x14ac:dyDescent="0.3">
      <c r="A61" s="17" t="s">
        <v>2118</v>
      </c>
      <c r="B61" s="17" t="s">
        <v>2119</v>
      </c>
      <c r="D61" s="17" t="s">
        <v>2118</v>
      </c>
      <c r="E61" s="17" t="s">
        <v>2120</v>
      </c>
      <c r="G61" s="18" t="s">
        <v>2118</v>
      </c>
      <c r="H61" s="18" t="s">
        <v>2121</v>
      </c>
    </row>
    <row r="62" spans="1:37" x14ac:dyDescent="0.3">
      <c r="A62" s="2" t="str">
        <f>INDEX($A$50:$A$59,MATCH(LARGE($B$50:$B$59,ROWS(D$50:D50)),$B$50:$B$59,0))</f>
        <v>Laptop</v>
      </c>
      <c r="B62" s="11">
        <f>LARGE($B$50:$B$59,ROWS(A$50:A50))</f>
        <v>7687278.6554621812</v>
      </c>
      <c r="D62" t="str">
        <f>INDEX($A$50:$A$59,MATCH(LARGE($C$50:$C$59,ROWS(D$50:D50)),$C$50:$C$59,0))</f>
        <v>Laptop</v>
      </c>
      <c r="E62" s="11">
        <f>LARGE($C$50:$C$59,ROWS(A$50:A50))</f>
        <v>1257768.025797209</v>
      </c>
      <c r="G62" t="str">
        <f>INDEX($A$50:$A$59,MATCH(LARGE($D$50:$D$59,ROWS(D$50:D50)),$D$50:$D$59,0))</f>
        <v>Jeans</v>
      </c>
      <c r="H62" s="11">
        <f>LARGE($D$50:$D$59,ROWS(A$50:A50))</f>
        <v>192.28273709483776</v>
      </c>
      <c r="X62" s="38" t="s">
        <v>2129</v>
      </c>
      <c r="Y62" t="s">
        <v>2132</v>
      </c>
    </row>
    <row r="63" spans="1:37" x14ac:dyDescent="0.3">
      <c r="A63" s="2" t="str">
        <f>INDEX($A$50:$A$59,MATCH(LARGE($B$50:$B$59,ROWS(D$50:D51)),$B$50:$B$59,0))</f>
        <v>Smartphone</v>
      </c>
      <c r="B63" s="11">
        <f>LARGE($B$50:$B$59,ROWS(A$50:A51))</f>
        <v>2165938.8235294106</v>
      </c>
      <c r="D63" t="str">
        <f>INDEX($A$50:$A$59,MATCH(LARGE($C$50:$C$59,ROWS(D$50:D51)),$C$50:$C$59,0))</f>
        <v>Smartphone</v>
      </c>
      <c r="E63" s="11">
        <f>LARGE($C$50:$C$59,ROWS(A$50:A51))</f>
        <v>858722.65157545335</v>
      </c>
      <c r="G63" t="str">
        <f>INDEX($A$50:$A$59,MATCH(LARGE($D$50:$D$59,ROWS(D$50:D51)),$D$50:$D$59,0))</f>
        <v>Headphones</v>
      </c>
      <c r="H63" s="11">
        <f>LARGE($D$50:$D$59,ROWS(A$50:A51))</f>
        <v>184.22050420168054</v>
      </c>
      <c r="X63" s="39" t="s">
        <v>559</v>
      </c>
      <c r="Y63" s="14">
        <v>7687278.6554621812</v>
      </c>
    </row>
    <row r="64" spans="1:37" x14ac:dyDescent="0.3">
      <c r="A64" s="2" t="str">
        <f>INDEX($A$50:$A$59,MATCH(LARGE($B$50:$B$59,ROWS(D$50:D52)),$B$50:$B$59,0))</f>
        <v>Study Table</v>
      </c>
      <c r="B64" s="11">
        <f>LARGE($B$50:$B$59,ROWS(A$50:A52))</f>
        <v>831161.34453781438</v>
      </c>
      <c r="D64" t="str">
        <f>INDEX($A$50:$A$59,MATCH(LARGE($C$50:$C$59,ROWS(D$50:D52)),$C$50:$C$59,0))</f>
        <v>Study Table</v>
      </c>
      <c r="E64" s="11">
        <f>LARGE($C$50:$C$59,ROWS(A$50:A52))</f>
        <v>423884.09443457366</v>
      </c>
      <c r="G64" t="str">
        <f>INDEX($A$50:$A$59,MATCH(LARGE($D$50:$D$59,ROWS(D$50:D52)),$D$50:$D$59,0))</f>
        <v>Laptop</v>
      </c>
      <c r="H64" s="11">
        <f>LARGE($D$50:$D$59,ROWS(A$50:A52))</f>
        <v>183.03044417767094</v>
      </c>
      <c r="X64" s="39" t="s">
        <v>579</v>
      </c>
      <c r="Y64" s="14">
        <v>447187.76470588194</v>
      </c>
    </row>
    <row r="65" spans="1:25" x14ac:dyDescent="0.3">
      <c r="A65" s="2" t="str">
        <f>INDEX($A$50:$A$59,MATCH(LARGE($B$50:$B$59,ROWS(D$50:D53)),$B$50:$B$59,0))</f>
        <v>Office Chair</v>
      </c>
      <c r="B65" s="11">
        <f>LARGE($B$50:$B$59,ROWS(A$50:A53))</f>
        <v>731075.29411764641</v>
      </c>
      <c r="D65" t="str">
        <f>INDEX($A$50:$A$59,MATCH(LARGE($C$50:$C$59,ROWS(D$50:D53)),$C$50:$C$59,0))</f>
        <v>Office Chair</v>
      </c>
      <c r="E65" s="11">
        <f>LARGE($C$50:$C$59,ROWS(A$50:A53))</f>
        <v>346827.63365016552</v>
      </c>
      <c r="G65" t="str">
        <f>INDEX($A$50:$A$59,MATCH(LARGE($D$50:$D$59,ROWS(D$50:D53)),$D$50:$D$59,0))</f>
        <v>Face Wash</v>
      </c>
      <c r="H65" s="11">
        <f>LARGE($D$50:$D$59,ROWS(A$50:A53))</f>
        <v>177.09613445378139</v>
      </c>
      <c r="X65" s="39" t="s">
        <v>574</v>
      </c>
      <c r="Y65" s="14">
        <v>731075.29411764641</v>
      </c>
    </row>
    <row r="66" spans="1:25" x14ac:dyDescent="0.3">
      <c r="A66" s="2" t="str">
        <f>INDEX($A$50:$A$59,MATCH(LARGE($B$50:$B$59,ROWS(D$50:D54)),$B$50:$B$59,0))</f>
        <v>Mixer Grinder</v>
      </c>
      <c r="B66" s="11">
        <f>LARGE($B$50:$B$59,ROWS(A$50:A54))</f>
        <v>447187.76470588194</v>
      </c>
      <c r="D66" t="str">
        <f>INDEX($A$50:$A$59,MATCH(LARGE($C$50:$C$59,ROWS(D$50:D54)),$C$50:$C$59,0))</f>
        <v>Sports Shoes</v>
      </c>
      <c r="E66" s="11">
        <f>LARGE($C$50:$C$59,ROWS(A$50:A54))</f>
        <v>287730.27538281167</v>
      </c>
      <c r="G66" t="str">
        <f>INDEX($A$50:$A$59,MATCH(LARGE($D$50:$D$59,ROWS(D$50:D54)),$D$50:$D$59,0))</f>
        <v>Study Table</v>
      </c>
      <c r="H66" s="11">
        <f>LARGE($D$50:$D$59,ROWS(A$50:A54))</f>
        <v>166.23226890756288</v>
      </c>
      <c r="X66" s="39" t="s">
        <v>562</v>
      </c>
      <c r="Y66" s="14">
        <v>2165938.8235294106</v>
      </c>
    </row>
    <row r="67" spans="1:25" x14ac:dyDescent="0.3">
      <c r="X67" s="39" t="s">
        <v>577</v>
      </c>
      <c r="Y67" s="14">
        <v>831161.34453781438</v>
      </c>
    </row>
    <row r="68" spans="1:25" x14ac:dyDescent="0.3">
      <c r="A68" s="28" t="s">
        <v>555</v>
      </c>
      <c r="B68" s="29" t="s">
        <v>2106</v>
      </c>
      <c r="C68" s="29" t="s">
        <v>2107</v>
      </c>
      <c r="D68" s="28" t="s">
        <v>2111</v>
      </c>
      <c r="F68" s="30" t="s">
        <v>2122</v>
      </c>
      <c r="G68" s="30" t="s">
        <v>2123</v>
      </c>
      <c r="X68" s="39" t="s">
        <v>2130</v>
      </c>
      <c r="Y68" s="14">
        <v>11862641.882352935</v>
      </c>
    </row>
    <row r="69" spans="1:25" x14ac:dyDescent="0.3">
      <c r="A69" s="4" t="s">
        <v>560</v>
      </c>
      <c r="B69" s="13">
        <f>SUMIF(Order!M:M,A69,Order!S:S)</f>
        <v>12493511.709929336</v>
      </c>
      <c r="C69" s="13">
        <f>SUMIF(Order!M:M,A69,Order!U:U)</f>
        <v>2308697.3233747231</v>
      </c>
      <c r="D69" s="13">
        <f>SUMIF(Order!M:M,A69,Order!H:H)</f>
        <v>521.96086434573783</v>
      </c>
      <c r="F69" s="2" t="str">
        <f>INDEX(A69:A73,MATCH(MAX(B69:B73),B69:B73,0))</f>
        <v>Electronics</v>
      </c>
      <c r="G69" s="11">
        <f>LARGE($B$69:$B$73,ROWS(A$69:A69))</f>
        <v>12493511.709929336</v>
      </c>
    </row>
    <row r="70" spans="1:25" x14ac:dyDescent="0.3">
      <c r="A70" s="1" t="s">
        <v>575</v>
      </c>
      <c r="B70" s="13">
        <f>SUMIF(Order!M:M,A70,Order!S:S)</f>
        <v>2332948.3667401997</v>
      </c>
      <c r="C70" s="13">
        <f>SUMIF(Order!M:M,A70,Order!U:U)</f>
        <v>770711.72808473918</v>
      </c>
      <c r="D70" s="13">
        <f>SUMIF(Order!M:M,A70,Order!H:H)</f>
        <v>328.69344537815107</v>
      </c>
      <c r="F70" s="2" t="str">
        <f t="shared" ref="F70:F73" si="2">INDEX(A70:A74,MATCH(MAX(B70:B74),B70:B74,0))</f>
        <v>Furniture</v>
      </c>
      <c r="G70" s="11">
        <f>LARGE($B$69:$B$73,ROWS(A$69:A70))</f>
        <v>2332948.3667401997</v>
      </c>
    </row>
    <row r="71" spans="1:25" x14ac:dyDescent="0.3">
      <c r="A71" s="1" t="s">
        <v>567</v>
      </c>
      <c r="B71" s="13">
        <f>SUMIF(Order!M:M,A71,Order!S:S)</f>
        <v>586825.11339893215</v>
      </c>
      <c r="C71" s="13">
        <f>SUMIF(Order!M:M,A71,Order!U:U)</f>
        <v>264060.45553578716</v>
      </c>
      <c r="D71" s="13">
        <f>SUMIF(Order!M:M,A71,Order!H:H)</f>
        <v>351.21651860744254</v>
      </c>
      <c r="F71" s="2" t="str">
        <f t="shared" si="2"/>
        <v>Sports</v>
      </c>
      <c r="G71" s="11">
        <f>LARGE($B$69:$B$73,ROWS(A$69:A71))</f>
        <v>642112.93084499624</v>
      </c>
    </row>
    <row r="72" spans="1:25" x14ac:dyDescent="0.3">
      <c r="A72" s="1" t="s">
        <v>572</v>
      </c>
      <c r="B72" s="13">
        <f>SUMIF(Order!M:M,A72,Order!S:S)</f>
        <v>642112.93084499624</v>
      </c>
      <c r="C72" s="13">
        <f>SUMIF(Order!M:M,A72,Order!U:U)</f>
        <v>287730.27538281167</v>
      </c>
      <c r="D72" s="13">
        <f>SUMIF(Order!M:M,A72,Order!H:H)</f>
        <v>161.08302521008392</v>
      </c>
      <c r="F72" s="2" t="str">
        <f t="shared" si="2"/>
        <v>Sports</v>
      </c>
      <c r="G72" s="11">
        <f>LARGE($B$69:$B$73,ROWS(A$69:A72))</f>
        <v>586825.11339893215</v>
      </c>
    </row>
    <row r="73" spans="1:25" x14ac:dyDescent="0.3">
      <c r="A73" s="1" t="s">
        <v>583</v>
      </c>
      <c r="B73" s="13">
        <f>SUMIF(Order!M:M,A73,Order!S:S)</f>
        <v>55018.393669994999</v>
      </c>
      <c r="C73" s="13">
        <f>SUMIF(Order!M:M,A73,Order!U:U)</f>
        <v>23141.089468314363</v>
      </c>
      <c r="D73" s="13">
        <f>SUMIF(Order!M:M,A73,Order!H:H)</f>
        <v>177.09613445378139</v>
      </c>
      <c r="F73" s="2" t="str">
        <f t="shared" si="2"/>
        <v>Beauty</v>
      </c>
      <c r="G73" s="11">
        <f>LARGE($B$69:$B$73,ROWS(A$69:A73))</f>
        <v>55018.393669994999</v>
      </c>
    </row>
    <row r="79" spans="1:25" x14ac:dyDescent="0.3">
      <c r="O79" s="38" t="s">
        <v>2129</v>
      </c>
      <c r="P79" t="s">
        <v>2133</v>
      </c>
    </row>
    <row r="80" spans="1:25" x14ac:dyDescent="0.3">
      <c r="O80" s="39" t="s">
        <v>1081</v>
      </c>
      <c r="P80" s="40">
        <v>274</v>
      </c>
    </row>
    <row r="81" spans="8:16" x14ac:dyDescent="0.3">
      <c r="O81" s="41">
        <v>274</v>
      </c>
      <c r="P81" s="40">
        <v>274</v>
      </c>
    </row>
    <row r="82" spans="8:16" x14ac:dyDescent="0.3">
      <c r="O82" s="39" t="s">
        <v>1084</v>
      </c>
      <c r="P82" s="40">
        <v>226</v>
      </c>
    </row>
    <row r="83" spans="8:16" x14ac:dyDescent="0.3">
      <c r="O83" s="41">
        <v>226</v>
      </c>
      <c r="P83" s="40">
        <v>226</v>
      </c>
    </row>
    <row r="84" spans="8:16" x14ac:dyDescent="0.3">
      <c r="O84" s="39" t="s">
        <v>2130</v>
      </c>
      <c r="P84" s="40">
        <v>500</v>
      </c>
    </row>
    <row r="89" spans="8:16" x14ac:dyDescent="0.3">
      <c r="H89" s="38" t="s">
        <v>2129</v>
      </c>
      <c r="I89" t="s">
        <v>2131</v>
      </c>
    </row>
    <row r="90" spans="8:16" x14ac:dyDescent="0.3">
      <c r="H90" s="39" t="s">
        <v>1089</v>
      </c>
      <c r="I90" s="14">
        <v>79245.936134453717</v>
      </c>
    </row>
    <row r="91" spans="8:16" x14ac:dyDescent="0.3">
      <c r="H91" s="39" t="s">
        <v>1094</v>
      </c>
      <c r="I91" s="14">
        <v>560040.55702280893</v>
      </c>
    </row>
    <row r="92" spans="8:16" x14ac:dyDescent="0.3">
      <c r="H92" s="39" t="s">
        <v>1090</v>
      </c>
      <c r="I92" s="14">
        <v>1830504.4705882338</v>
      </c>
    </row>
    <row r="93" spans="8:16" x14ac:dyDescent="0.3">
      <c r="H93" s="39" t="s">
        <v>1096</v>
      </c>
      <c r="I93" s="14">
        <v>206077.98319327712</v>
      </c>
    </row>
    <row r="94" spans="8:16" x14ac:dyDescent="0.3">
      <c r="H94" s="39" t="s">
        <v>1087</v>
      </c>
      <c r="I94" s="14">
        <v>519221.5126050415</v>
      </c>
    </row>
    <row r="95" spans="8:16" x14ac:dyDescent="0.3">
      <c r="H95" s="39" t="s">
        <v>1091</v>
      </c>
      <c r="I95" s="14">
        <v>391515.29411764676</v>
      </c>
    </row>
    <row r="96" spans="8:16" x14ac:dyDescent="0.3">
      <c r="H96" s="39" t="s">
        <v>1085</v>
      </c>
      <c r="I96" s="14">
        <v>78903.401680672207</v>
      </c>
    </row>
    <row r="97" spans="8:9" x14ac:dyDescent="0.3">
      <c r="H97" s="39" t="s">
        <v>1082</v>
      </c>
      <c r="I97" s="14">
        <v>4198314.1176470546</v>
      </c>
    </row>
    <row r="98" spans="8:9" x14ac:dyDescent="0.3">
      <c r="H98" s="39" t="s">
        <v>1095</v>
      </c>
      <c r="I98" s="14">
        <v>59047.704201680615</v>
      </c>
    </row>
    <row r="99" spans="8:9" x14ac:dyDescent="0.3">
      <c r="H99" s="39" t="s">
        <v>1088</v>
      </c>
      <c r="I99" s="14">
        <v>3810347.5159663828</v>
      </c>
    </row>
    <row r="100" spans="8:9" x14ac:dyDescent="0.3">
      <c r="H100" s="39" t="s">
        <v>1097</v>
      </c>
      <c r="I100" s="14">
        <v>414467.36806722661</v>
      </c>
    </row>
    <row r="101" spans="8:9" x14ac:dyDescent="0.3">
      <c r="H101" s="39" t="s">
        <v>1093</v>
      </c>
      <c r="I101" s="14">
        <v>530708.97478991549</v>
      </c>
    </row>
    <row r="102" spans="8:9" x14ac:dyDescent="0.3">
      <c r="H102" s="39" t="s">
        <v>1098</v>
      </c>
      <c r="I102" s="14">
        <v>224868.57142857125</v>
      </c>
    </row>
    <row r="103" spans="8:9" x14ac:dyDescent="0.3">
      <c r="H103" s="39" t="s">
        <v>2130</v>
      </c>
      <c r="I103" s="14">
        <v>12903263.407442966</v>
      </c>
    </row>
  </sheetData>
  <sortState xmlns:xlrd2="http://schemas.microsoft.com/office/spreadsheetml/2017/richdata2" ref="G32:L46">
    <sortCondition descending="1" ref="K32:K46"/>
  </sortState>
  <phoneticPr fontId="2" type="noConversion"/>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74DF-E76C-416E-A92D-7B0A8836A0F8}">
  <dimension ref="A1"/>
  <sheetViews>
    <sheetView showGridLines="0" tabSelected="1" zoomScale="33" zoomScaleNormal="88" workbookViewId="0">
      <selection activeCell="Z89" sqref="Z89"/>
    </sheetView>
  </sheetViews>
  <sheetFormatPr defaultRowHeight="14.4" x14ac:dyDescent="0.3"/>
  <cols>
    <col min="5" max="5" width="10.33203125" bestFit="1" customWidth="1"/>
    <col min="6" max="6" width="13" bestFit="1" customWidth="1"/>
    <col min="11" max="11" width="10.3320312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vt:lpstr>
      <vt:lpstr>Products</vt:lpstr>
      <vt:lpstr>Customers</vt:lpstr>
      <vt:lpstr>Employees</vt:lpstr>
      <vt:lpstr>Targets</vt:lpstr>
      <vt:lpstr>Sheet1</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negi</dc:creator>
  <cp:lastModifiedBy>aman negi</cp:lastModifiedBy>
  <dcterms:created xsi:type="dcterms:W3CDTF">2026-09-22T19:08:01Z</dcterms:created>
  <dcterms:modified xsi:type="dcterms:W3CDTF">2026-09-28T19:50:46Z</dcterms:modified>
</cp:coreProperties>
</file>